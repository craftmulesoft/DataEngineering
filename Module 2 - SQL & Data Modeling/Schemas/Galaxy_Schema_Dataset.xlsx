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aft\Videos\Power BI\Data Set\Schemas\"/>
    </mc:Choice>
  </mc:AlternateContent>
  <xr:revisionPtr revIDLastSave="0" documentId="13_ncr:1_{A0032F31-7A4B-4A0E-BFBE-EBDB3469D569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Overview" sheetId="1" r:id="rId1"/>
    <sheet name="Dim_Patient" sheetId="2" r:id="rId2"/>
    <sheet name="Dim_Facility" sheetId="3" r:id="rId3"/>
    <sheet name="Dim_Date" sheetId="4" r:id="rId4"/>
    <sheet name="Dim_Physician" sheetId="5" r:id="rId5"/>
    <sheet name="Dim_Lab_Panel" sheetId="6" r:id="rId6"/>
    <sheet name="Fact_Admissions" sheetId="7" r:id="rId7"/>
    <sheet name="Fact_Lab_Te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8" l="1"/>
  <c r="I12" i="8"/>
  <c r="I11" i="8"/>
  <c r="I10" i="8"/>
  <c r="I9" i="8"/>
  <c r="I8" i="8"/>
  <c r="I7" i="8"/>
  <c r="I6" i="8"/>
  <c r="I5" i="8"/>
  <c r="I4" i="8"/>
  <c r="I3" i="8"/>
  <c r="I2" i="8"/>
  <c r="I11" i="7"/>
  <c r="I10" i="7"/>
  <c r="I9" i="7"/>
  <c r="I8" i="7"/>
  <c r="I7" i="7"/>
  <c r="I6" i="7"/>
  <c r="I5" i="7"/>
  <c r="I4" i="7"/>
  <c r="I3" i="7"/>
  <c r="I2" i="7"/>
</calcChain>
</file>

<file path=xl/sharedStrings.xml><?xml version="1.0" encoding="utf-8"?>
<sst xmlns="http://schemas.openxmlformats.org/spreadsheetml/2006/main" count="161" uniqueCount="119">
  <si>
    <t>Hospital Operations Galaxy Schema (Fact Constellation) Model</t>
  </si>
  <si>
    <t>This workbook contains a Galaxy Schema dataset modeling a healthcare/hospital system. A Galaxy Schema consists of MULTIPLE fact tables that share common, conformed dimensions.</t>
  </si>
  <si>
    <t>Workbook Structure &amp; Galaxy Architecture</t>
  </si>
  <si>
    <t>Tab Name</t>
  </si>
  <si>
    <t>Table Type</t>
  </si>
  <si>
    <t>Shared / Conformed Status</t>
  </si>
  <si>
    <t>Description</t>
  </si>
  <si>
    <t>Fact_Admissions</t>
  </si>
  <si>
    <t>Fact Table 1</t>
  </si>
  <si>
    <t>Uses shared dimensions</t>
  </si>
  <si>
    <t>Tracks inpatient stays, lengths of stay, and admission revenue.</t>
  </si>
  <si>
    <t>Fact_Lab_Tests</t>
  </si>
  <si>
    <t>Fact Table 2</t>
  </si>
  <si>
    <t>Tracks clinical laboratory tests performed and diagnostic costs.</t>
  </si>
  <si>
    <t>Dim_Patient</t>
  </si>
  <si>
    <t>Dimension Table</t>
  </si>
  <si>
    <t>CONFORMED (Shared by both Facts)</t>
  </si>
  <si>
    <t>Demographics and historical background of patients.</t>
  </si>
  <si>
    <t>Dim_Facility</t>
  </si>
  <si>
    <t>Hospital wings, emergency rooms, or specialized health clinics.</t>
  </si>
  <si>
    <t>Dim_Date</t>
  </si>
  <si>
    <t>Shared corporate medical operations timeline.</t>
  </si>
  <si>
    <t>Dim_Physician</t>
  </si>
  <si>
    <t>Fact_Admissions Only</t>
  </si>
  <si>
    <t>Attending medical practitioners and clinical specialists.</t>
  </si>
  <si>
    <t>Dim_Lab_Panel</t>
  </si>
  <si>
    <t>Fact_Lab_Tests Only</t>
  </si>
  <si>
    <t>Catalogue of test names, target biometrics, and equipment requirements.</t>
  </si>
  <si>
    <t>PatientKey</t>
  </si>
  <si>
    <t>PatientName</t>
  </si>
  <si>
    <t>Gender</t>
  </si>
  <si>
    <t>Age</t>
  </si>
  <si>
    <t>BloodType</t>
  </si>
  <si>
    <t>Alice Jenkins</t>
  </si>
  <si>
    <t>Female</t>
  </si>
  <si>
    <t>A+</t>
  </si>
  <si>
    <t>Robert Miller</t>
  </si>
  <si>
    <t>Male</t>
  </si>
  <si>
    <t>O-</t>
  </si>
  <si>
    <t>Carlos Mendez</t>
  </si>
  <si>
    <t>B+</t>
  </si>
  <si>
    <t>Diana Prince</t>
  </si>
  <si>
    <t>AB+</t>
  </si>
  <si>
    <t>Evan Wright</t>
  </si>
  <si>
    <t>O+</t>
  </si>
  <si>
    <t>FacilityKey</t>
  </si>
  <si>
    <t>FacilityName</t>
  </si>
  <si>
    <t>City</t>
  </si>
  <si>
    <t>BedCapacity</t>
  </si>
  <si>
    <t>St. Jude Central Hospital</t>
  </si>
  <si>
    <t>Boston</t>
  </si>
  <si>
    <t>Metropolitan Emergency Wing</t>
  </si>
  <si>
    <t>Valley Outpatient Clinic</t>
  </si>
  <si>
    <t>Cambridge</t>
  </si>
  <si>
    <t>DateKey</t>
  </si>
  <si>
    <t>CalendarDate</t>
  </si>
  <si>
    <t>Year</t>
  </si>
  <si>
    <t>MonthName</t>
  </si>
  <si>
    <t>DayName</t>
  </si>
  <si>
    <t>May</t>
  </si>
  <si>
    <t>Friday</t>
  </si>
  <si>
    <t>Saturday</t>
  </si>
  <si>
    <t>Sunday</t>
  </si>
  <si>
    <t>Monday</t>
  </si>
  <si>
    <t>Tuesday</t>
  </si>
  <si>
    <t>Wednesday</t>
  </si>
  <si>
    <t>Thursday</t>
  </si>
  <si>
    <t>PhysicianKey</t>
  </si>
  <si>
    <t>PhysicianName</t>
  </si>
  <si>
    <t>Specialty</t>
  </si>
  <si>
    <t>Dr. Gregory House</t>
  </si>
  <si>
    <t>Diagnostic Medicine</t>
  </si>
  <si>
    <t>Dr. Miranda Bailey</t>
  </si>
  <si>
    <t>General Surgery</t>
  </si>
  <si>
    <t>Dr. Sanjay Gupta</t>
  </si>
  <si>
    <t>Neurosurgery</t>
  </si>
  <si>
    <t>LabPanelKey</t>
  </si>
  <si>
    <t>TestName</t>
  </si>
  <si>
    <t>Department</t>
  </si>
  <si>
    <t>NormalTurnaroundHours</t>
  </si>
  <si>
    <t>Comprehensive Metabolic Panel (CMP)</t>
  </si>
  <si>
    <t>Biochemistry</t>
  </si>
  <si>
    <t>Complete Blood Count (CBC)</t>
  </si>
  <si>
    <t>Hematology</t>
  </si>
  <si>
    <t>Lipid Profile Panel</t>
  </si>
  <si>
    <t>Endocrinology</t>
  </si>
  <si>
    <t>Hemoglobin A1c (HbA1c)</t>
  </si>
  <si>
    <t>AdmissionID</t>
  </si>
  <si>
    <t>LengthOfStayDays</t>
  </si>
  <si>
    <t>BaseAdmissionCharge</t>
  </si>
  <si>
    <t>InsuranceCoverageAmount</t>
  </si>
  <si>
    <t>NetPatientDue</t>
  </si>
  <si>
    <t>ADM-2026-001</t>
  </si>
  <si>
    <t>ADM-2026-002</t>
  </si>
  <si>
    <t>ADM-2026-003</t>
  </si>
  <si>
    <t>ADM-2026-004</t>
  </si>
  <si>
    <t>ADM-2026-005</t>
  </si>
  <si>
    <t>ADM-2026-006</t>
  </si>
  <si>
    <t>ADM-2026-007</t>
  </si>
  <si>
    <t>ADM-2026-008</t>
  </si>
  <si>
    <t>ADM-2026-009</t>
  </si>
  <si>
    <t>ADM-2026-010</t>
  </si>
  <si>
    <t>LabTestID</t>
  </si>
  <si>
    <t>TestQuantity</t>
  </si>
  <si>
    <t>UnitStandardCost</t>
  </si>
  <si>
    <t>PatientCopay</t>
  </si>
  <si>
    <t>TotalLabCost</t>
  </si>
  <si>
    <t>LAB-2026-0101</t>
  </si>
  <si>
    <t>LAB-2026-0102</t>
  </si>
  <si>
    <t>LAB-2026-0103</t>
  </si>
  <si>
    <t>LAB-2026-0104</t>
  </si>
  <si>
    <t>LAB-2026-0105</t>
  </si>
  <si>
    <t>LAB-2026-0106</t>
  </si>
  <si>
    <t>LAB-2026-0107</t>
  </si>
  <si>
    <t>LAB-2026-0108</t>
  </si>
  <si>
    <t>LAB-2026-0109</t>
  </si>
  <si>
    <t>LAB-2026-0110</t>
  </si>
  <si>
    <t>LAB-2026-0111</t>
  </si>
  <si>
    <t>LAB-2026-0112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</si>
</sst>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\$#,##0.00"/>
  </numFmts>
  <fonts count="6">
    <font>
      <sz val="11"/>
      <color theme="1"/>
      <name val="Calibri"/>
      <family val="2"/>
      <scheme val="minor"/>
    </font>
    <font>
      <b/>
      <sz val="16"/>
      <color rgb="FF4A2E5D"/>
      <name val="Segoe UI"/>
    </font>
    <font>
      <sz val="10"/>
      <name val="Segoe UI"/>
    </font>
    <font>
      <b/>
      <sz val="12"/>
      <color rgb="FF2C3E50"/>
      <name val="Segoe UI"/>
    </font>
    <font>
      <b/>
      <sz val="11"/>
      <color rgb="FFFFFFFF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A2E5D"/>
        <bgColor rgb="FF4A2E5D"/>
      </patternFill>
    </fill>
    <fill>
      <patternFill patternType="solid">
        <fgColor rgb="FFF6F2F8"/>
        <bgColor rgb="FFF6F2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4A2E5D"/>
      </top>
      <bottom style="medium">
        <color rgb="FF4A2E5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2" fillId="3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/>
  </sheetViews>
  <sheetFormatPr defaultRowHeight="14.5"/>
  <sheetData>
    <row r="1" spans="1:4" ht="30" customHeight="1">
      <c r="A1" s="1" t="s">
        <v>0</v>
      </c>
    </row>
    <row r="3" spans="1:4" ht="16">
      <c r="A3" s="2" t="s">
        <v>1</v>
      </c>
    </row>
    <row r="5" spans="1:4" ht="17.5">
      <c r="A5" s="3" t="s">
        <v>2</v>
      </c>
    </row>
    <row r="6" spans="1:4" ht="22" customHeight="1">
      <c r="A6" s="4" t="s">
        <v>3</v>
      </c>
      <c r="B6" s="4" t="s">
        <v>4</v>
      </c>
      <c r="C6" s="4" t="s">
        <v>5</v>
      </c>
      <c r="D6" s="4" t="s">
        <v>6</v>
      </c>
    </row>
    <row r="7" spans="1:4" ht="20" customHeight="1">
      <c r="A7" s="5" t="s">
        <v>7</v>
      </c>
      <c r="B7" s="6" t="s">
        <v>8</v>
      </c>
      <c r="C7" s="6" t="s">
        <v>9</v>
      </c>
      <c r="D7" s="6" t="s">
        <v>10</v>
      </c>
    </row>
    <row r="8" spans="1:4" ht="20" customHeight="1">
      <c r="A8" s="7" t="s">
        <v>11</v>
      </c>
      <c r="B8" s="8" t="s">
        <v>12</v>
      </c>
      <c r="C8" s="8" t="s">
        <v>9</v>
      </c>
      <c r="D8" s="8" t="s">
        <v>13</v>
      </c>
    </row>
    <row r="9" spans="1:4" ht="20" customHeight="1">
      <c r="A9" s="5" t="s">
        <v>14</v>
      </c>
      <c r="B9" s="6" t="s">
        <v>15</v>
      </c>
      <c r="C9" s="6" t="s">
        <v>16</v>
      </c>
      <c r="D9" s="6" t="s">
        <v>17</v>
      </c>
    </row>
    <row r="10" spans="1:4" ht="20" customHeight="1">
      <c r="A10" s="7" t="s">
        <v>18</v>
      </c>
      <c r="B10" s="8" t="s">
        <v>15</v>
      </c>
      <c r="C10" s="8" t="s">
        <v>16</v>
      </c>
      <c r="D10" s="8" t="s">
        <v>19</v>
      </c>
    </row>
    <row r="11" spans="1:4" ht="20" customHeight="1">
      <c r="A11" s="5" t="s">
        <v>20</v>
      </c>
      <c r="B11" s="6" t="s">
        <v>15</v>
      </c>
      <c r="C11" s="6" t="s">
        <v>16</v>
      </c>
      <c r="D11" s="6" t="s">
        <v>21</v>
      </c>
    </row>
    <row r="12" spans="1:4" ht="20" customHeight="1">
      <c r="A12" s="7" t="s">
        <v>22</v>
      </c>
      <c r="B12" s="8" t="s">
        <v>15</v>
      </c>
      <c r="C12" s="8" t="s">
        <v>23</v>
      </c>
      <c r="D12" s="8" t="s">
        <v>24</v>
      </c>
    </row>
    <row r="13" spans="1:4" ht="20" customHeight="1">
      <c r="A13" s="5" t="s">
        <v>25</v>
      </c>
      <c r="B13" s="6" t="s">
        <v>15</v>
      </c>
      <c r="C13" s="6" t="s">
        <v>26</v>
      </c>
      <c r="D13" s="6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/>
  <cols>
    <col min="1" max="1" width="14" customWidth="1"/>
    <col min="2" max="2" width="17" customWidth="1"/>
    <col min="3" max="5" width="13" customWidth="1"/>
  </cols>
  <sheetData>
    <row r="1" spans="1:5" ht="26" customHeight="1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</row>
    <row r="2" spans="1:5" ht="19" customHeight="1">
      <c r="A2" s="10">
        <v>5001</v>
      </c>
      <c r="B2" s="11" t="s">
        <v>33</v>
      </c>
      <c r="C2" s="11" t="s">
        <v>34</v>
      </c>
      <c r="D2" s="10">
        <v>45</v>
      </c>
      <c r="E2" s="11" t="s">
        <v>35</v>
      </c>
    </row>
    <row r="3" spans="1:5" ht="19" customHeight="1">
      <c r="A3" s="12">
        <v>5002</v>
      </c>
      <c r="B3" s="13" t="s">
        <v>36</v>
      </c>
      <c r="C3" s="13" t="s">
        <v>37</v>
      </c>
      <c r="D3" s="12">
        <v>62</v>
      </c>
      <c r="E3" s="13" t="s">
        <v>38</v>
      </c>
    </row>
    <row r="4" spans="1:5" ht="19" customHeight="1">
      <c r="A4" s="10">
        <v>5003</v>
      </c>
      <c r="B4" s="11" t="s">
        <v>39</v>
      </c>
      <c r="C4" s="11" t="s">
        <v>37</v>
      </c>
      <c r="D4" s="10">
        <v>29</v>
      </c>
      <c r="E4" s="11" t="s">
        <v>40</v>
      </c>
    </row>
    <row r="5" spans="1:5" ht="19" customHeight="1">
      <c r="A5" s="12">
        <v>5004</v>
      </c>
      <c r="B5" s="13" t="s">
        <v>41</v>
      </c>
      <c r="C5" s="13" t="s">
        <v>34</v>
      </c>
      <c r="D5" s="12">
        <v>38</v>
      </c>
      <c r="E5" s="13" t="s">
        <v>42</v>
      </c>
    </row>
    <row r="6" spans="1:5" ht="19" customHeight="1">
      <c r="A6" s="10">
        <v>5005</v>
      </c>
      <c r="B6" s="11" t="s">
        <v>43</v>
      </c>
      <c r="C6" s="11" t="s">
        <v>37</v>
      </c>
      <c r="D6" s="10">
        <v>71</v>
      </c>
      <c r="E6" s="11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/>
  <cols>
    <col min="1" max="1" width="15" customWidth="1"/>
    <col min="2" max="2" width="31" customWidth="1"/>
    <col min="3" max="3" width="13" customWidth="1"/>
    <col min="4" max="4" width="15" customWidth="1"/>
  </cols>
  <sheetData>
    <row r="1" spans="1:4" ht="26" customHeight="1">
      <c r="A1" s="9" t="s">
        <v>45</v>
      </c>
      <c r="B1" s="9" t="s">
        <v>46</v>
      </c>
      <c r="C1" s="9" t="s">
        <v>47</v>
      </c>
      <c r="D1" s="9" t="s">
        <v>48</v>
      </c>
    </row>
    <row r="2" spans="1:4" ht="19" customHeight="1">
      <c r="A2" s="10">
        <v>10</v>
      </c>
      <c r="B2" s="11" t="s">
        <v>49</v>
      </c>
      <c r="C2" s="11" t="s">
        <v>50</v>
      </c>
      <c r="D2" s="10">
        <v>450</v>
      </c>
    </row>
    <row r="3" spans="1:4" ht="19" customHeight="1">
      <c r="A3" s="12">
        <v>20</v>
      </c>
      <c r="B3" s="13" t="s">
        <v>51</v>
      </c>
      <c r="C3" s="13" t="s">
        <v>50</v>
      </c>
      <c r="D3" s="12">
        <v>120</v>
      </c>
    </row>
    <row r="4" spans="1:4" ht="19" customHeight="1">
      <c r="A4" s="10">
        <v>30</v>
      </c>
      <c r="B4" s="11" t="s">
        <v>52</v>
      </c>
      <c r="C4" s="11" t="s">
        <v>53</v>
      </c>
      <c r="D4" s="1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4.5"/>
  <cols>
    <col min="1" max="1" width="13" customWidth="1"/>
    <col min="2" max="2" width="23" customWidth="1"/>
    <col min="3" max="5" width="13" customWidth="1"/>
  </cols>
  <sheetData>
    <row r="1" spans="1:5" ht="26" customHeight="1">
      <c r="A1" s="9" t="s">
        <v>54</v>
      </c>
      <c r="B1" s="9" t="s">
        <v>55</v>
      </c>
      <c r="C1" s="9" t="s">
        <v>56</v>
      </c>
      <c r="D1" s="9" t="s">
        <v>57</v>
      </c>
      <c r="E1" s="9" t="s">
        <v>58</v>
      </c>
    </row>
    <row r="2" spans="1:5" ht="19" customHeight="1">
      <c r="A2" s="10">
        <v>20260501</v>
      </c>
      <c r="B2" s="14">
        <v>46143</v>
      </c>
      <c r="C2" s="10">
        <v>2026</v>
      </c>
      <c r="D2" s="11" t="s">
        <v>59</v>
      </c>
      <c r="E2" s="11" t="s">
        <v>60</v>
      </c>
    </row>
    <row r="3" spans="1:5" ht="19" customHeight="1">
      <c r="A3" s="12">
        <v>20260502</v>
      </c>
      <c r="B3" s="15">
        <v>46144</v>
      </c>
      <c r="C3" s="12">
        <v>2026</v>
      </c>
      <c r="D3" s="13" t="s">
        <v>59</v>
      </c>
      <c r="E3" s="13" t="s">
        <v>61</v>
      </c>
    </row>
    <row r="4" spans="1:5" ht="19" customHeight="1">
      <c r="A4" s="10">
        <v>20260503</v>
      </c>
      <c r="B4" s="14">
        <v>46145</v>
      </c>
      <c r="C4" s="10">
        <v>2026</v>
      </c>
      <c r="D4" s="11" t="s">
        <v>59</v>
      </c>
      <c r="E4" s="11" t="s">
        <v>62</v>
      </c>
    </row>
    <row r="5" spans="1:5" ht="19" customHeight="1">
      <c r="A5" s="12">
        <v>20260504</v>
      </c>
      <c r="B5" s="15">
        <v>46146</v>
      </c>
      <c r="C5" s="12">
        <v>2026</v>
      </c>
      <c r="D5" s="13" t="s">
        <v>59</v>
      </c>
      <c r="E5" s="13" t="s">
        <v>63</v>
      </c>
    </row>
    <row r="6" spans="1:5" ht="19" customHeight="1">
      <c r="A6" s="10">
        <v>20260505</v>
      </c>
      <c r="B6" s="14">
        <v>46147</v>
      </c>
      <c r="C6" s="10">
        <v>2026</v>
      </c>
      <c r="D6" s="11" t="s">
        <v>59</v>
      </c>
      <c r="E6" s="11" t="s">
        <v>64</v>
      </c>
    </row>
    <row r="7" spans="1:5" ht="19" customHeight="1">
      <c r="A7" s="12">
        <v>20260506</v>
      </c>
      <c r="B7" s="15">
        <v>46148</v>
      </c>
      <c r="C7" s="12">
        <v>2026</v>
      </c>
      <c r="D7" s="13" t="s">
        <v>59</v>
      </c>
      <c r="E7" s="13" t="s">
        <v>65</v>
      </c>
    </row>
    <row r="8" spans="1:5" ht="19" customHeight="1">
      <c r="A8" s="10">
        <v>20260507</v>
      </c>
      <c r="B8" s="14">
        <v>46149</v>
      </c>
      <c r="C8" s="10">
        <v>2026</v>
      </c>
      <c r="D8" s="11" t="s">
        <v>59</v>
      </c>
      <c r="E8" s="11" t="s">
        <v>66</v>
      </c>
    </row>
    <row r="9" spans="1:5" ht="19" customHeight="1">
      <c r="A9" s="12">
        <v>20260508</v>
      </c>
      <c r="B9" s="15">
        <v>46150</v>
      </c>
      <c r="C9" s="12">
        <v>2026</v>
      </c>
      <c r="D9" s="13" t="s">
        <v>59</v>
      </c>
      <c r="E9" s="13" t="s">
        <v>60</v>
      </c>
    </row>
    <row r="10" spans="1:5" ht="19" customHeight="1">
      <c r="A10" s="10">
        <v>20260509</v>
      </c>
      <c r="B10" s="14">
        <v>46151</v>
      </c>
      <c r="C10" s="10">
        <v>2026</v>
      </c>
      <c r="D10" s="11" t="s">
        <v>59</v>
      </c>
      <c r="E10" s="11" t="s">
        <v>61</v>
      </c>
    </row>
    <row r="11" spans="1:5" ht="19" customHeight="1">
      <c r="A11" s="12">
        <v>20260510</v>
      </c>
      <c r="B11" s="15">
        <v>46152</v>
      </c>
      <c r="C11" s="12">
        <v>2026</v>
      </c>
      <c r="D11" s="13" t="s">
        <v>59</v>
      </c>
      <c r="E11" s="13" t="s">
        <v>62</v>
      </c>
    </row>
    <row r="12" spans="1:5" ht="19" customHeight="1">
      <c r="A12" s="10">
        <v>20260511</v>
      </c>
      <c r="B12" s="14">
        <v>46153</v>
      </c>
      <c r="C12" s="10">
        <v>2026</v>
      </c>
      <c r="D12" s="11" t="s">
        <v>59</v>
      </c>
      <c r="E12" s="11" t="s">
        <v>63</v>
      </c>
    </row>
    <row r="13" spans="1:5" ht="19" customHeight="1">
      <c r="A13" s="12">
        <v>20260512</v>
      </c>
      <c r="B13" s="15">
        <v>46154</v>
      </c>
      <c r="C13" s="12">
        <v>2026</v>
      </c>
      <c r="D13" s="13" t="s">
        <v>59</v>
      </c>
      <c r="E13" s="13" t="s">
        <v>64</v>
      </c>
    </row>
    <row r="14" spans="1:5" ht="19" customHeight="1">
      <c r="A14" s="10">
        <v>20260513</v>
      </c>
      <c r="B14" s="14">
        <v>46155</v>
      </c>
      <c r="C14" s="10">
        <v>2026</v>
      </c>
      <c r="D14" s="11" t="s">
        <v>59</v>
      </c>
      <c r="E14" s="11" t="s">
        <v>65</v>
      </c>
    </row>
    <row r="15" spans="1:5" ht="19" customHeight="1">
      <c r="A15" s="12">
        <v>20260514</v>
      </c>
      <c r="B15" s="15">
        <v>46156</v>
      </c>
      <c r="C15" s="12">
        <v>2026</v>
      </c>
      <c r="D15" s="13" t="s">
        <v>59</v>
      </c>
      <c r="E15" s="13" t="s">
        <v>66</v>
      </c>
    </row>
    <row r="16" spans="1:5" ht="19" customHeight="1">
      <c r="A16" s="10">
        <v>20260515</v>
      </c>
      <c r="B16" s="14">
        <v>46157</v>
      </c>
      <c r="C16" s="10">
        <v>2026</v>
      </c>
      <c r="D16" s="11" t="s">
        <v>59</v>
      </c>
      <c r="E16" s="11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5"/>
  <cols>
    <col min="1" max="1" width="16" customWidth="1"/>
    <col min="2" max="2" width="22" customWidth="1"/>
    <col min="3" max="3" width="23" customWidth="1"/>
  </cols>
  <sheetData>
    <row r="1" spans="1:3" ht="26" customHeight="1">
      <c r="A1" s="9" t="s">
        <v>67</v>
      </c>
      <c r="B1" s="9" t="s">
        <v>68</v>
      </c>
      <c r="C1" s="9" t="s">
        <v>69</v>
      </c>
    </row>
    <row r="2" spans="1:3" ht="19" customHeight="1">
      <c r="A2" s="10">
        <v>301</v>
      </c>
      <c r="B2" s="11" t="s">
        <v>70</v>
      </c>
      <c r="C2" s="11" t="s">
        <v>71</v>
      </c>
    </row>
    <row r="3" spans="1:3" ht="19" customHeight="1">
      <c r="A3" s="12">
        <v>302</v>
      </c>
      <c r="B3" s="13" t="s">
        <v>72</v>
      </c>
      <c r="C3" s="13" t="s">
        <v>73</v>
      </c>
    </row>
    <row r="4" spans="1:3" ht="19" customHeight="1">
      <c r="A4" s="10">
        <v>303</v>
      </c>
      <c r="B4" s="11" t="s">
        <v>74</v>
      </c>
      <c r="C4" s="11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defaultRowHeight="14.5"/>
  <cols>
    <col min="1" max="1" width="15" customWidth="1"/>
    <col min="2" max="2" width="39" customWidth="1"/>
    <col min="3" max="3" width="17" customWidth="1"/>
    <col min="4" max="4" width="25" customWidth="1"/>
  </cols>
  <sheetData>
    <row r="1" spans="1:4" ht="26" customHeight="1">
      <c r="A1" s="9" t="s">
        <v>76</v>
      </c>
      <c r="B1" s="9" t="s">
        <v>77</v>
      </c>
      <c r="C1" s="9" t="s">
        <v>78</v>
      </c>
      <c r="D1" s="9" t="s">
        <v>79</v>
      </c>
    </row>
    <row r="2" spans="1:4" ht="19" customHeight="1">
      <c r="A2" s="10">
        <v>701</v>
      </c>
      <c r="B2" s="11" t="s">
        <v>80</v>
      </c>
      <c r="C2" s="11" t="s">
        <v>81</v>
      </c>
      <c r="D2" s="10">
        <v>4</v>
      </c>
    </row>
    <row r="3" spans="1:4" ht="19" customHeight="1">
      <c r="A3" s="12">
        <v>702</v>
      </c>
      <c r="B3" s="13" t="s">
        <v>82</v>
      </c>
      <c r="C3" s="13" t="s">
        <v>83</v>
      </c>
      <c r="D3" s="12">
        <v>2</v>
      </c>
    </row>
    <row r="4" spans="1:4" ht="19" customHeight="1">
      <c r="A4" s="10">
        <v>703</v>
      </c>
      <c r="B4" s="11" t="s">
        <v>84</v>
      </c>
      <c r="C4" s="11" t="s">
        <v>85</v>
      </c>
      <c r="D4" s="10">
        <v>8</v>
      </c>
    </row>
    <row r="5" spans="1:4" ht="19" customHeight="1">
      <c r="A5" s="12">
        <v>704</v>
      </c>
      <c r="B5" s="13" t="s">
        <v>86</v>
      </c>
      <c r="C5" s="13" t="s">
        <v>85</v>
      </c>
      <c r="D5" s="12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workbookViewId="0">
      <selection activeCell="A12" sqref="A12"/>
    </sheetView>
  </sheetViews>
  <sheetFormatPr defaultRowHeight="14.5"/>
  <cols>
    <col min="1" max="1" width="17" customWidth="1"/>
    <col min="2" max="2" width="13" customWidth="1"/>
    <col min="3" max="3" width="14" customWidth="1"/>
    <col min="4" max="4" width="15" customWidth="1"/>
    <col min="5" max="5" width="16" customWidth="1"/>
    <col min="6" max="6" width="20" customWidth="1"/>
    <col min="7" max="7" width="23" customWidth="1"/>
    <col min="8" max="8" width="27" customWidth="1"/>
    <col min="9" max="9" width="19" customWidth="1"/>
  </cols>
  <sheetData>
    <row r="1" spans="1:9" ht="26" customHeight="1">
      <c r="A1" s="9" t="s">
        <v>87</v>
      </c>
      <c r="B1" s="9" t="s">
        <v>54</v>
      </c>
      <c r="C1" s="9" t="s">
        <v>28</v>
      </c>
      <c r="D1" s="9" t="s">
        <v>45</v>
      </c>
      <c r="E1" s="9" t="s">
        <v>67</v>
      </c>
      <c r="F1" s="9" t="s">
        <v>88</v>
      </c>
      <c r="G1" s="9" t="s">
        <v>89</v>
      </c>
      <c r="H1" s="9" t="s">
        <v>90</v>
      </c>
      <c r="I1" s="16" t="s">
        <v>91</v>
      </c>
    </row>
    <row r="2" spans="1:9" ht="19" customHeight="1">
      <c r="A2" s="11" t="s">
        <v>92</v>
      </c>
      <c r="B2" s="10">
        <v>20260501</v>
      </c>
      <c r="C2" s="10">
        <v>5001</v>
      </c>
      <c r="D2" s="10">
        <v>10</v>
      </c>
      <c r="E2" s="10">
        <v>301</v>
      </c>
      <c r="F2" s="10">
        <v>4</v>
      </c>
      <c r="G2" s="17">
        <v>1200</v>
      </c>
      <c r="H2" s="17">
        <v>900</v>
      </c>
      <c r="I2" s="17">
        <f t="shared" ref="I2:I11" si="0">G2-H2</f>
        <v>300</v>
      </c>
    </row>
    <row r="3" spans="1:9" ht="19" customHeight="1">
      <c r="A3" s="13" t="s">
        <v>93</v>
      </c>
      <c r="B3" s="12">
        <v>20260501</v>
      </c>
      <c r="C3" s="12">
        <v>5003</v>
      </c>
      <c r="D3" s="12">
        <v>10</v>
      </c>
      <c r="E3" s="12">
        <v>303</v>
      </c>
      <c r="F3" s="12">
        <v>7</v>
      </c>
      <c r="G3" s="18">
        <v>2450</v>
      </c>
      <c r="H3" s="18">
        <v>1800</v>
      </c>
      <c r="I3" s="18">
        <f t="shared" si="0"/>
        <v>650</v>
      </c>
    </row>
    <row r="4" spans="1:9" ht="19" customHeight="1">
      <c r="A4" s="11" t="s">
        <v>94</v>
      </c>
      <c r="B4" s="10">
        <v>20260502</v>
      </c>
      <c r="C4" s="10">
        <v>5002</v>
      </c>
      <c r="D4" s="10">
        <v>20</v>
      </c>
      <c r="E4" s="10">
        <v>302</v>
      </c>
      <c r="F4" s="10">
        <v>2</v>
      </c>
      <c r="G4" s="17">
        <v>950</v>
      </c>
      <c r="H4" s="17">
        <v>800</v>
      </c>
      <c r="I4" s="17">
        <f t="shared" si="0"/>
        <v>150</v>
      </c>
    </row>
    <row r="5" spans="1:9" ht="19" customHeight="1">
      <c r="A5" s="13" t="s">
        <v>95</v>
      </c>
      <c r="B5" s="12">
        <v>20260503</v>
      </c>
      <c r="C5" s="12">
        <v>5005</v>
      </c>
      <c r="D5" s="12">
        <v>10</v>
      </c>
      <c r="E5" s="12">
        <v>301</v>
      </c>
      <c r="F5" s="12">
        <v>11</v>
      </c>
      <c r="G5" s="18">
        <v>4100</v>
      </c>
      <c r="H5" s="18">
        <v>3500</v>
      </c>
      <c r="I5" s="18">
        <f t="shared" si="0"/>
        <v>600</v>
      </c>
    </row>
    <row r="6" spans="1:9" ht="19" customHeight="1">
      <c r="A6" s="11" t="s">
        <v>96</v>
      </c>
      <c r="B6" s="10">
        <v>20260504</v>
      </c>
      <c r="C6" s="10">
        <v>5004</v>
      </c>
      <c r="D6" s="10">
        <v>30</v>
      </c>
      <c r="E6" s="10">
        <v>303</v>
      </c>
      <c r="F6" s="10">
        <v>1</v>
      </c>
      <c r="G6" s="17">
        <v>350</v>
      </c>
      <c r="H6" s="17">
        <v>250</v>
      </c>
      <c r="I6" s="17">
        <f t="shared" si="0"/>
        <v>100</v>
      </c>
    </row>
    <row r="7" spans="1:9" ht="19" customHeight="1">
      <c r="A7" s="13" t="s">
        <v>97</v>
      </c>
      <c r="B7" s="12">
        <v>20260505</v>
      </c>
      <c r="C7" s="12">
        <v>5001</v>
      </c>
      <c r="D7" s="12">
        <v>10</v>
      </c>
      <c r="E7" s="12">
        <v>302</v>
      </c>
      <c r="F7" s="12">
        <v>3</v>
      </c>
      <c r="G7" s="18">
        <v>1100</v>
      </c>
      <c r="H7" s="18">
        <v>850</v>
      </c>
      <c r="I7" s="18">
        <f t="shared" si="0"/>
        <v>250</v>
      </c>
    </row>
    <row r="8" spans="1:9" ht="19" customHeight="1">
      <c r="A8" s="11" t="s">
        <v>98</v>
      </c>
      <c r="B8" s="10">
        <v>20260506</v>
      </c>
      <c r="C8" s="10">
        <v>5002</v>
      </c>
      <c r="D8" s="10">
        <v>20</v>
      </c>
      <c r="E8" s="10">
        <v>301</v>
      </c>
      <c r="F8" s="10">
        <v>5</v>
      </c>
      <c r="G8" s="17">
        <v>1800</v>
      </c>
      <c r="H8" s="17">
        <v>1400</v>
      </c>
      <c r="I8" s="17">
        <f t="shared" si="0"/>
        <v>400</v>
      </c>
    </row>
    <row r="9" spans="1:9" ht="19" customHeight="1">
      <c r="A9" s="13" t="s">
        <v>99</v>
      </c>
      <c r="B9" s="12">
        <v>20260507</v>
      </c>
      <c r="C9" s="12">
        <v>5003</v>
      </c>
      <c r="D9" s="12">
        <v>10</v>
      </c>
      <c r="E9" s="12">
        <v>303</v>
      </c>
      <c r="F9" s="12">
        <v>8</v>
      </c>
      <c r="G9" s="18">
        <v>2900</v>
      </c>
      <c r="H9" s="18">
        <v>2200</v>
      </c>
      <c r="I9" s="18">
        <f t="shared" si="0"/>
        <v>700</v>
      </c>
    </row>
    <row r="10" spans="1:9" ht="19" customHeight="1">
      <c r="A10" s="11" t="s">
        <v>100</v>
      </c>
      <c r="B10" s="10">
        <v>20260508</v>
      </c>
      <c r="C10" s="10">
        <v>5005</v>
      </c>
      <c r="D10" s="10">
        <v>10</v>
      </c>
      <c r="E10" s="10">
        <v>302</v>
      </c>
      <c r="F10" s="10">
        <v>6</v>
      </c>
      <c r="G10" s="17">
        <v>2100</v>
      </c>
      <c r="H10" s="17">
        <v>1600</v>
      </c>
      <c r="I10" s="17">
        <f t="shared" si="0"/>
        <v>500</v>
      </c>
    </row>
    <row r="11" spans="1:9" ht="19" customHeight="1">
      <c r="A11" s="13" t="s">
        <v>101</v>
      </c>
      <c r="B11" s="12">
        <v>20260509</v>
      </c>
      <c r="C11" s="12">
        <v>5004</v>
      </c>
      <c r="D11" s="12">
        <v>30</v>
      </c>
      <c r="E11" s="12">
        <v>301</v>
      </c>
      <c r="F11" s="12">
        <v>2</v>
      </c>
      <c r="G11" s="18">
        <v>600</v>
      </c>
      <c r="H11" s="18">
        <v>450</v>
      </c>
      <c r="I11" s="18">
        <f t="shared" si="0"/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tabSelected="1" workbookViewId="0">
      <selection activeCell="A14" sqref="A14"/>
    </sheetView>
  </sheetViews>
  <sheetFormatPr defaultRowHeight="14.5"/>
  <cols>
    <col min="1" max="1" width="17" customWidth="1"/>
    <col min="2" max="2" width="13" customWidth="1"/>
    <col min="3" max="3" width="14" customWidth="1"/>
    <col min="4" max="5" width="15" customWidth="1"/>
    <col min="6" max="6" width="19" customWidth="1"/>
    <col min="7" max="7" width="20" customWidth="1"/>
    <col min="8" max="9" width="19" customWidth="1"/>
  </cols>
  <sheetData>
    <row r="1" spans="1:9" ht="26" customHeight="1">
      <c r="A1" s="9" t="s">
        <v>102</v>
      </c>
      <c r="B1" s="9" t="s">
        <v>54</v>
      </c>
      <c r="C1" s="9" t="s">
        <v>28</v>
      </c>
      <c r="D1" s="9" t="s">
        <v>45</v>
      </c>
      <c r="E1" s="9" t="s">
        <v>76</v>
      </c>
      <c r="F1" s="9" t="s">
        <v>103</v>
      </c>
      <c r="G1" s="9" t="s">
        <v>104</v>
      </c>
      <c r="H1" s="9" t="s">
        <v>105</v>
      </c>
      <c r="I1" s="16" t="s">
        <v>106</v>
      </c>
    </row>
    <row r="2" spans="1:9" ht="19" customHeight="1">
      <c r="A2" s="11" t="s">
        <v>107</v>
      </c>
      <c r="B2" s="10">
        <v>20260501</v>
      </c>
      <c r="C2" s="10">
        <v>5001</v>
      </c>
      <c r="D2" s="10">
        <v>10</v>
      </c>
      <c r="E2" s="10">
        <v>701</v>
      </c>
      <c r="F2" s="10">
        <v>1</v>
      </c>
      <c r="G2" s="17">
        <v>45</v>
      </c>
      <c r="H2" s="17">
        <v>10</v>
      </c>
      <c r="I2" s="17">
        <f t="shared" ref="I2:I13" si="0">F2*G2</f>
        <v>45</v>
      </c>
    </row>
    <row r="3" spans="1:9" ht="19" customHeight="1">
      <c r="A3" s="13" t="s">
        <v>108</v>
      </c>
      <c r="B3" s="12">
        <v>20260501</v>
      </c>
      <c r="C3" s="12">
        <v>5001</v>
      </c>
      <c r="D3" s="12">
        <v>10</v>
      </c>
      <c r="E3" s="12">
        <v>702</v>
      </c>
      <c r="F3" s="12">
        <v>1</v>
      </c>
      <c r="G3" s="18">
        <v>20</v>
      </c>
      <c r="H3" s="18">
        <v>5</v>
      </c>
      <c r="I3" s="18">
        <f t="shared" si="0"/>
        <v>20</v>
      </c>
    </row>
    <row r="4" spans="1:9" ht="19" customHeight="1">
      <c r="A4" s="11" t="s">
        <v>109</v>
      </c>
      <c r="B4" s="10">
        <v>20260502</v>
      </c>
      <c r="C4" s="10">
        <v>5003</v>
      </c>
      <c r="D4" s="10">
        <v>10</v>
      </c>
      <c r="E4" s="10">
        <v>701</v>
      </c>
      <c r="F4" s="10">
        <v>2</v>
      </c>
      <c r="G4" s="17">
        <v>45</v>
      </c>
      <c r="H4" s="17">
        <v>20</v>
      </c>
      <c r="I4" s="17">
        <f t="shared" si="0"/>
        <v>90</v>
      </c>
    </row>
    <row r="5" spans="1:9" ht="19" customHeight="1">
      <c r="A5" s="13" t="s">
        <v>110</v>
      </c>
      <c r="B5" s="12">
        <v>20260502</v>
      </c>
      <c r="C5" s="12">
        <v>5002</v>
      </c>
      <c r="D5" s="12">
        <v>20</v>
      </c>
      <c r="E5" s="12">
        <v>703</v>
      </c>
      <c r="F5" s="12">
        <v>1</v>
      </c>
      <c r="G5" s="18">
        <v>35</v>
      </c>
      <c r="H5" s="18">
        <v>10</v>
      </c>
      <c r="I5" s="18">
        <f t="shared" si="0"/>
        <v>35</v>
      </c>
    </row>
    <row r="6" spans="1:9" ht="19" customHeight="1">
      <c r="A6" s="11" t="s">
        <v>111</v>
      </c>
      <c r="B6" s="10">
        <v>20260503</v>
      </c>
      <c r="C6" s="10">
        <v>5005</v>
      </c>
      <c r="D6" s="10">
        <v>10</v>
      </c>
      <c r="E6" s="10">
        <v>704</v>
      </c>
      <c r="F6" s="10">
        <v>1</v>
      </c>
      <c r="G6" s="17">
        <v>55</v>
      </c>
      <c r="H6" s="17">
        <v>15</v>
      </c>
      <c r="I6" s="17">
        <f t="shared" si="0"/>
        <v>55</v>
      </c>
    </row>
    <row r="7" spans="1:9" ht="19" customHeight="1">
      <c r="A7" s="13" t="s">
        <v>112</v>
      </c>
      <c r="B7" s="12">
        <v>20260504</v>
      </c>
      <c r="C7" s="12">
        <v>5004</v>
      </c>
      <c r="D7" s="12">
        <v>30</v>
      </c>
      <c r="E7" s="12">
        <v>702</v>
      </c>
      <c r="F7" s="12">
        <v>1</v>
      </c>
      <c r="G7" s="18">
        <v>20</v>
      </c>
      <c r="H7" s="18">
        <v>5</v>
      </c>
      <c r="I7" s="18">
        <f t="shared" si="0"/>
        <v>20</v>
      </c>
    </row>
    <row r="8" spans="1:9" ht="19" customHeight="1">
      <c r="A8" s="11" t="s">
        <v>113</v>
      </c>
      <c r="B8" s="10">
        <v>20260505</v>
      </c>
      <c r="C8" s="10">
        <v>5001</v>
      </c>
      <c r="D8" s="10">
        <v>10</v>
      </c>
      <c r="E8" s="10">
        <v>701</v>
      </c>
      <c r="F8" s="10">
        <v>1</v>
      </c>
      <c r="G8" s="17">
        <v>45</v>
      </c>
      <c r="H8" s="17">
        <v>10</v>
      </c>
      <c r="I8" s="17">
        <f t="shared" si="0"/>
        <v>45</v>
      </c>
    </row>
    <row r="9" spans="1:9" ht="19" customHeight="1">
      <c r="A9" s="13" t="s">
        <v>114</v>
      </c>
      <c r="B9" s="12">
        <v>20260506</v>
      </c>
      <c r="C9" s="12">
        <v>5002</v>
      </c>
      <c r="D9" s="12">
        <v>20</v>
      </c>
      <c r="E9" s="12">
        <v>702</v>
      </c>
      <c r="F9" s="12">
        <v>2</v>
      </c>
      <c r="G9" s="18">
        <v>20</v>
      </c>
      <c r="H9" s="18">
        <v>10</v>
      </c>
      <c r="I9" s="18">
        <f t="shared" si="0"/>
        <v>40</v>
      </c>
    </row>
    <row r="10" spans="1:9" ht="19" customHeight="1">
      <c r="A10" s="11" t="s">
        <v>115</v>
      </c>
      <c r="B10" s="10">
        <v>20260507</v>
      </c>
      <c r="C10" s="10">
        <v>5003</v>
      </c>
      <c r="D10" s="10">
        <v>10</v>
      </c>
      <c r="E10" s="10">
        <v>703</v>
      </c>
      <c r="F10" s="10">
        <v>1</v>
      </c>
      <c r="G10" s="17">
        <v>35</v>
      </c>
      <c r="H10" s="17">
        <v>10</v>
      </c>
      <c r="I10" s="17">
        <f t="shared" si="0"/>
        <v>35</v>
      </c>
    </row>
    <row r="11" spans="1:9" ht="19" customHeight="1">
      <c r="A11" s="13" t="s">
        <v>116</v>
      </c>
      <c r="B11" s="12">
        <v>20260507</v>
      </c>
      <c r="C11" s="12">
        <v>5005</v>
      </c>
      <c r="D11" s="12">
        <v>10</v>
      </c>
      <c r="E11" s="12">
        <v>704</v>
      </c>
      <c r="F11" s="12">
        <v>1</v>
      </c>
      <c r="G11" s="18">
        <v>55</v>
      </c>
      <c r="H11" s="18">
        <v>15</v>
      </c>
      <c r="I11" s="18">
        <f t="shared" si="0"/>
        <v>55</v>
      </c>
    </row>
    <row r="12" spans="1:9" ht="19" customHeight="1">
      <c r="A12" s="11" t="s">
        <v>117</v>
      </c>
      <c r="B12" s="10">
        <v>20260508</v>
      </c>
      <c r="C12" s="10">
        <v>5005</v>
      </c>
      <c r="D12" s="10">
        <v>10</v>
      </c>
      <c r="E12" s="10">
        <v>701</v>
      </c>
      <c r="F12" s="10">
        <v>1</v>
      </c>
      <c r="G12" s="17">
        <v>45</v>
      </c>
      <c r="H12" s="17">
        <v>10</v>
      </c>
      <c r="I12" s="17">
        <f t="shared" si="0"/>
        <v>45</v>
      </c>
    </row>
    <row r="13" spans="1:9" ht="19" customHeight="1">
      <c r="A13" s="13" t="s">
        <v>118</v>
      </c>
      <c r="B13" s="12">
        <v>20260509</v>
      </c>
      <c r="C13" s="12">
        <v>5004</v>
      </c>
      <c r="D13" s="12">
        <v>30</v>
      </c>
      <c r="E13" s="12">
        <v>703</v>
      </c>
      <c r="F13" s="12">
        <v>1</v>
      </c>
      <c r="G13" s="18">
        <v>35</v>
      </c>
      <c r="H13" s="18">
        <v>10</v>
      </c>
      <c r="I13" s="18">
        <f t="shared" si="0"/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Dim_Patient</vt:lpstr>
      <vt:lpstr>Dim_Facility</vt:lpstr>
      <vt:lpstr>Dim_Date</vt:lpstr>
      <vt:lpstr>Dim_Physician</vt:lpstr>
      <vt:lpstr>Dim_Lab_Panel</vt:lpstr>
      <vt:lpstr>Fact_Admissions</vt:lpstr>
      <vt:lpstr>Fact_Lab_Tests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Mintesnot Iwunete</cp:lastModifiedBy>
  <dcterms:created xsi:type="dcterms:W3CDTF">2026-06-11T17:28:26Z</dcterms:created>
  <dcterms:modified xsi:type="dcterms:W3CDTF">2026-06-11T18:07:13Z</dcterms:modified>
</cp:coreProperties>
</file>