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aft\Videos\Power BI\Data Set\Schemas\"/>
    </mc:Choice>
  </mc:AlternateContent>
  <xr:revisionPtr revIDLastSave="0" documentId="13_ncr:1_{9A26FC70-C8DF-4607-AC33-5309D8342627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Overview" sheetId="1" r:id="rId1"/>
    <sheet name="Dim_Customer" sheetId="2" r:id="rId2"/>
    <sheet name="Dim_Product" sheetId="3" r:id="rId3"/>
    <sheet name="Dim_Store" sheetId="4" r:id="rId4"/>
    <sheet name="Dim_Salesperson" sheetId="5" r:id="rId5"/>
    <sheet name="Dim_Date" sheetId="6" r:id="rId6"/>
    <sheet name="Fact_Sa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7" l="1"/>
  <c r="K21" i="7"/>
  <c r="M21" i="7" s="1"/>
  <c r="L20" i="7"/>
  <c r="K20" i="7"/>
  <c r="L19" i="7"/>
  <c r="K19" i="7"/>
  <c r="L18" i="7"/>
  <c r="K18" i="7"/>
  <c r="M18" i="7" s="1"/>
  <c r="L17" i="7"/>
  <c r="K17" i="7"/>
  <c r="M17" i="7" s="1"/>
  <c r="L16" i="7"/>
  <c r="K16" i="7"/>
  <c r="M16" i="7" s="1"/>
  <c r="L15" i="7"/>
  <c r="K15" i="7"/>
  <c r="M15" i="7" s="1"/>
  <c r="L14" i="7"/>
  <c r="K14" i="7"/>
  <c r="L13" i="7"/>
  <c r="K13" i="7"/>
  <c r="M13" i="7" s="1"/>
  <c r="L12" i="7"/>
  <c r="K12" i="7"/>
  <c r="M12" i="7" s="1"/>
  <c r="L11" i="7"/>
  <c r="K11" i="7"/>
  <c r="L10" i="7"/>
  <c r="K10" i="7"/>
  <c r="M10" i="7" s="1"/>
  <c r="L9" i="7"/>
  <c r="K9" i="7"/>
  <c r="M9" i="7" s="1"/>
  <c r="L8" i="7"/>
  <c r="K8" i="7"/>
  <c r="L7" i="7"/>
  <c r="K7" i="7"/>
  <c r="M7" i="7" s="1"/>
  <c r="L6" i="7"/>
  <c r="K6" i="7"/>
  <c r="M6" i="7" s="1"/>
  <c r="L5" i="7"/>
  <c r="K5" i="7"/>
  <c r="M5" i="7" s="1"/>
  <c r="L4" i="7"/>
  <c r="K4" i="7"/>
  <c r="M4" i="7" s="1"/>
  <c r="L3" i="7"/>
  <c r="K3" i="7"/>
  <c r="M3" i="7" s="1"/>
  <c r="L2" i="7"/>
  <c r="K2" i="7"/>
  <c r="M2" i="7" s="1"/>
  <c r="M14" i="7" l="1"/>
  <c r="M8" i="7"/>
  <c r="M19" i="7"/>
  <c r="M20" i="7"/>
  <c r="M11" i="7"/>
</calcChain>
</file>

<file path=xl/sharedStrings.xml><?xml version="1.0" encoding="utf-8"?>
<sst xmlns="http://schemas.openxmlformats.org/spreadsheetml/2006/main" count="296" uniqueCount="164">
  <si>
    <t>Retail Sales Star Schema Model</t>
  </si>
  <si>
    <t>This workbook contains a complete 5-Dimension, 1-Fact Table dataset designed for direct import into Power BI to build a classic Star Schema data model.</t>
  </si>
  <si>
    <t>Workbook Structure &amp; Architecture</t>
  </si>
  <si>
    <t>Tab Name</t>
  </si>
  <si>
    <t>Table Type</t>
  </si>
  <si>
    <t>Primary Key / Foreign Key</t>
  </si>
  <si>
    <t>Description</t>
  </si>
  <si>
    <t>Dim_Customer</t>
  </si>
  <si>
    <t>Dimension Table</t>
  </si>
  <si>
    <t>CustomerKey</t>
  </si>
  <si>
    <t>Contains demographic attributes about corporate and retail clients.</t>
  </si>
  <si>
    <t>Dim_Product</t>
  </si>
  <si>
    <t>ProductKey</t>
  </si>
  <si>
    <t>Stores product details including hierarchy (Category, Subcategory).</t>
  </si>
  <si>
    <t>Dim_Store</t>
  </si>
  <si>
    <t>StoreKey</t>
  </si>
  <si>
    <t>Geographic and organizational operational metrics for physical/online stores.</t>
  </si>
  <si>
    <t>Dim_Date</t>
  </si>
  <si>
    <t>DateKey</t>
  </si>
  <si>
    <t>Standard continuous calendar timeline supporting Time Intelligence functions.</t>
  </si>
  <si>
    <t>Dim_Salesperson</t>
  </si>
  <si>
    <t>SalespersonKey</t>
  </si>
  <si>
    <t>Details of internal account managers and sales representatives.</t>
  </si>
  <si>
    <t>Fact_Sales</t>
  </si>
  <si>
    <t>Fact Table</t>
  </si>
  <si>
    <t>Composite FKs</t>
  </si>
  <si>
    <t>Central transactional ledger recording quantitative sales metrics, performance metrics, and keys.</t>
  </si>
  <si>
    <t>CustomerName</t>
  </si>
  <si>
    <t>CustomerType</t>
  </si>
  <si>
    <t>Segment</t>
  </si>
  <si>
    <t>Country</t>
  </si>
  <si>
    <t>City</t>
  </si>
  <si>
    <t>Alpha Corp</t>
  </si>
  <si>
    <t>B2B</t>
  </si>
  <si>
    <t>Enterprise</t>
  </si>
  <si>
    <t>United States</t>
  </si>
  <si>
    <t>New York</t>
  </si>
  <si>
    <t>Jane Doe</t>
  </si>
  <si>
    <t>B2C</t>
  </si>
  <si>
    <t>Premium</t>
  </si>
  <si>
    <t>Canada</t>
  </si>
  <si>
    <t>Toronto</t>
  </si>
  <si>
    <t>Omega Industries</t>
  </si>
  <si>
    <t>Strategic</t>
  </si>
  <si>
    <t>United Kingdom</t>
  </si>
  <si>
    <t>London</t>
  </si>
  <si>
    <t>John Smith</t>
  </si>
  <si>
    <t>Standard</t>
  </si>
  <si>
    <t>Chicago</t>
  </si>
  <si>
    <t>Vertex Media</t>
  </si>
  <si>
    <t>Germany</t>
  </si>
  <si>
    <t>Berlin</t>
  </si>
  <si>
    <t>Emily Davis</t>
  </si>
  <si>
    <t>Austin</t>
  </si>
  <si>
    <t>Apex Solutions</t>
  </si>
  <si>
    <t>Australia</t>
  </si>
  <si>
    <t>Sydney</t>
  </si>
  <si>
    <t>Michael Brown</t>
  </si>
  <si>
    <t>Vancouver</t>
  </si>
  <si>
    <t>Beacon Retail</t>
  </si>
  <si>
    <t>Boston</t>
  </si>
  <si>
    <t>Sarah Wilson</t>
  </si>
  <si>
    <t>Manchester</t>
  </si>
  <si>
    <t>ProductName</t>
  </si>
  <si>
    <t>Category</t>
  </si>
  <si>
    <t>Subcategory</t>
  </si>
  <si>
    <t>StandardCost</t>
  </si>
  <si>
    <t>ListPrice</t>
  </si>
  <si>
    <t>UltraBook Pro 15</t>
  </si>
  <si>
    <t>Technology</t>
  </si>
  <si>
    <t>Computers</t>
  </si>
  <si>
    <t>Quantum 27" Monitor</t>
  </si>
  <si>
    <t>Displays</t>
  </si>
  <si>
    <t>ErgoDesk Alpha</t>
  </si>
  <si>
    <t>Furniture</t>
  </si>
  <si>
    <t>Office Furniture</t>
  </si>
  <si>
    <t>CyberMouse Wireless</t>
  </si>
  <si>
    <t>Accessories</t>
  </si>
  <si>
    <t>AudioSphere ANC Headphones</t>
  </si>
  <si>
    <t>Audio</t>
  </si>
  <si>
    <t>CloudDrive 2TB External</t>
  </si>
  <si>
    <t>Storage</t>
  </si>
  <si>
    <t>Matrix Mechanical Keyboard</t>
  </si>
  <si>
    <t>StreamCam HD 4K</t>
  </si>
  <si>
    <t>PowerBank Max 20k</t>
  </si>
  <si>
    <t>SmartHub Connect Router</t>
  </si>
  <si>
    <t>Networking</t>
  </si>
  <si>
    <t>StoreName</t>
  </si>
  <si>
    <t>StoreType</t>
  </si>
  <si>
    <t>Region</t>
  </si>
  <si>
    <t>Manager</t>
  </si>
  <si>
    <t>North American Digital Emporium</t>
  </si>
  <si>
    <t>Brick &amp; Mortar</t>
  </si>
  <si>
    <t>North America</t>
  </si>
  <si>
    <t>Robert Chen</t>
  </si>
  <si>
    <t>Eurosphere Hub</t>
  </si>
  <si>
    <t>Europe</t>
  </si>
  <si>
    <t>Elena Rostova</t>
  </si>
  <si>
    <t>Asia-Pacific Outlet</t>
  </si>
  <si>
    <t>APAC</t>
  </si>
  <si>
    <t>Kenji Sato</t>
  </si>
  <si>
    <t>UK Flagship Store</t>
  </si>
  <si>
    <t>Alistair Cook</t>
  </si>
  <si>
    <t>Global Online Portal</t>
  </si>
  <si>
    <t>E-Commerce</t>
  </si>
  <si>
    <t>Global</t>
  </si>
  <si>
    <t>System Automated</t>
  </si>
  <si>
    <t>SalespersonName</t>
  </si>
  <si>
    <t>SalesTeam</t>
  </si>
  <si>
    <t>CommissionRate</t>
  </si>
  <si>
    <t>David Vance</t>
  </si>
  <si>
    <t>US Commercial</t>
  </si>
  <si>
    <t>Sophia Martinez</t>
  </si>
  <si>
    <t>EMEA Enterprise</t>
  </si>
  <si>
    <t>Marcus Sterling</t>
  </si>
  <si>
    <t>APAC Enterprise</t>
  </si>
  <si>
    <t>Chloe Zhao</t>
  </si>
  <si>
    <t>UK Retail</t>
  </si>
  <si>
    <t>None (Direct E-Commerce)</t>
  </si>
  <si>
    <t>Digital Marketing</t>
  </si>
  <si>
    <t>FullDate</t>
  </si>
  <si>
    <t>Year</t>
  </si>
  <si>
    <t>Quarter</t>
  </si>
  <si>
    <t>Month</t>
  </si>
  <si>
    <t>MonthName</t>
  </si>
  <si>
    <t>DayOfWeek</t>
  </si>
  <si>
    <t>IsWeekend</t>
  </si>
  <si>
    <t>Q1</t>
  </si>
  <si>
    <t>January</t>
  </si>
  <si>
    <t>Thursday</t>
  </si>
  <si>
    <t>Friday</t>
  </si>
  <si>
    <t>Saturday</t>
  </si>
  <si>
    <t>Sunday</t>
  </si>
  <si>
    <t>Monday</t>
  </si>
  <si>
    <t>Tuesday</t>
  </si>
  <si>
    <t>Wednesday</t>
  </si>
  <si>
    <t>SalesOrderNumber</t>
  </si>
  <si>
    <t>Quantity</t>
  </si>
  <si>
    <t>UnitPrice</t>
  </si>
  <si>
    <t>UnitCost</t>
  </si>
  <si>
    <t>DiscountAmount</t>
  </si>
  <si>
    <t>SalesAmount</t>
  </si>
  <si>
    <t>TotalCost</t>
  </si>
  <si>
    <t>NetProfit</t>
  </si>
  <si>
    <t>SO-2026-001</t>
  </si>
  <si>
    <t>SO-2026-002</t>
  </si>
  <si>
    <t>SO-2026-003</t>
  </si>
  <si>
    <t>SO-2026-004</t>
  </si>
  <si>
    <t>SO-2026-005</t>
  </si>
  <si>
    <t>SO-2026-006</t>
  </si>
  <si>
    <t>SO-2026-007</t>
  </si>
  <si>
    <t>SO-2026-008</t>
  </si>
  <si>
    <t>SO-2026-009</t>
  </si>
  <si>
    <t>SO-2026-0010</t>
  </si>
  <si>
    <t>SO-2026-0011</t>
  </si>
  <si>
    <t>SO-2026-0012</t>
  </si>
  <si>
    <t>SO-2026-0013</t>
  </si>
  <si>
    <t>SO-2026-0014</t>
  </si>
  <si>
    <t>SO-2026-0015</t>
  </si>
  <si>
    <t>SO-2026-0016</t>
  </si>
  <si>
    <t>SO-2026-0017</t>
  </si>
  <si>
    <t>SO-2026-0018</t>
  </si>
  <si>
    <t>SO-2026-0019</t>
  </si>
  <si>
    <t>SO-2026-0020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</si>
</sst>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7" formatCode="yyyy\-mm\-dd"/>
  </numFmts>
  <fonts count="6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sz val="10"/>
      <name val="Segoe UI"/>
    </font>
    <font>
      <b/>
      <sz val="12"/>
      <color rgb="FF2C3E50"/>
      <name val="Segoe UI"/>
    </font>
    <font>
      <b/>
      <sz val="11"/>
      <color rgb="FFFFFFFF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F497D"/>
      </top>
      <bottom style="medium">
        <color rgb="FF1F497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2" fillId="3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7" fontId="2" fillId="0" borderId="1" xfId="0" applyNumberFormat="1" applyFont="1" applyBorder="1" applyAlignment="1">
      <alignment horizontal="left"/>
    </xf>
    <xf numFmtId="167" fontId="2" fillId="3" borderId="1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RowHeight="14.5"/>
  <sheetData>
    <row r="1" spans="1:4" ht="30" customHeight="1">
      <c r="A1" s="1" t="s">
        <v>0</v>
      </c>
    </row>
    <row r="3" spans="1:4" ht="16">
      <c r="A3" s="2" t="s">
        <v>1</v>
      </c>
    </row>
    <row r="5" spans="1:4" ht="17.5">
      <c r="A5" s="3" t="s">
        <v>2</v>
      </c>
    </row>
    <row r="6" spans="1:4" ht="22" customHeight="1">
      <c r="A6" s="4" t="s">
        <v>3</v>
      </c>
      <c r="B6" s="4" t="s">
        <v>4</v>
      </c>
      <c r="C6" s="4" t="s">
        <v>5</v>
      </c>
      <c r="D6" s="4" t="s">
        <v>6</v>
      </c>
    </row>
    <row r="7" spans="1:4" ht="20" customHeight="1">
      <c r="A7" s="5" t="s">
        <v>7</v>
      </c>
      <c r="B7" s="6" t="s">
        <v>8</v>
      </c>
      <c r="C7" s="6" t="s">
        <v>9</v>
      </c>
      <c r="D7" s="6" t="s">
        <v>10</v>
      </c>
    </row>
    <row r="8" spans="1:4" ht="20" customHeight="1">
      <c r="A8" s="7" t="s">
        <v>11</v>
      </c>
      <c r="B8" s="8" t="s">
        <v>8</v>
      </c>
      <c r="C8" s="8" t="s">
        <v>12</v>
      </c>
      <c r="D8" s="8" t="s">
        <v>13</v>
      </c>
    </row>
    <row r="9" spans="1:4" ht="20" customHeight="1">
      <c r="A9" s="5" t="s">
        <v>14</v>
      </c>
      <c r="B9" s="6" t="s">
        <v>8</v>
      </c>
      <c r="C9" s="6" t="s">
        <v>15</v>
      </c>
      <c r="D9" s="6" t="s">
        <v>16</v>
      </c>
    </row>
    <row r="10" spans="1:4" ht="20" customHeight="1">
      <c r="A10" s="7" t="s">
        <v>17</v>
      </c>
      <c r="B10" s="8" t="s">
        <v>8</v>
      </c>
      <c r="C10" s="8" t="s">
        <v>18</v>
      </c>
      <c r="D10" s="8" t="s">
        <v>19</v>
      </c>
    </row>
    <row r="11" spans="1:4" ht="20" customHeight="1">
      <c r="A11" s="5" t="s">
        <v>20</v>
      </c>
      <c r="B11" s="6" t="s">
        <v>8</v>
      </c>
      <c r="C11" s="6" t="s">
        <v>21</v>
      </c>
      <c r="D11" s="6" t="s">
        <v>22</v>
      </c>
    </row>
    <row r="12" spans="1:4" ht="20" customHeight="1">
      <c r="A12" s="7" t="s">
        <v>23</v>
      </c>
      <c r="B12" s="8" t="s">
        <v>24</v>
      </c>
      <c r="C12" s="8" t="s">
        <v>25</v>
      </c>
      <c r="D12" s="8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5"/>
  <cols>
    <col min="1" max="1" width="15" customWidth="1"/>
    <col min="2" max="2" width="20" customWidth="1"/>
    <col min="3" max="3" width="16" customWidth="1"/>
    <col min="4" max="4" width="14" customWidth="1"/>
    <col min="5" max="5" width="18" customWidth="1"/>
    <col min="6" max="6" width="14" customWidth="1"/>
  </cols>
  <sheetData>
    <row r="1" spans="1:6" ht="26" customHeight="1">
      <c r="A1" s="9" t="s">
        <v>9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</row>
    <row r="2" spans="1:6" ht="19" customHeight="1">
      <c r="A2" s="10">
        <v>1001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</row>
    <row r="3" spans="1:6" ht="19" customHeight="1">
      <c r="A3" s="12">
        <v>1002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</row>
    <row r="4" spans="1:6" ht="19" customHeight="1">
      <c r="A4" s="10">
        <v>1003</v>
      </c>
      <c r="B4" s="11" t="s">
        <v>42</v>
      </c>
      <c r="C4" s="11" t="s">
        <v>33</v>
      </c>
      <c r="D4" s="11" t="s">
        <v>43</v>
      </c>
      <c r="E4" s="11" t="s">
        <v>44</v>
      </c>
      <c r="F4" s="11" t="s">
        <v>45</v>
      </c>
    </row>
    <row r="5" spans="1:6" ht="19" customHeight="1">
      <c r="A5" s="12">
        <v>1004</v>
      </c>
      <c r="B5" s="13" t="s">
        <v>46</v>
      </c>
      <c r="C5" s="13" t="s">
        <v>38</v>
      </c>
      <c r="D5" s="13" t="s">
        <v>47</v>
      </c>
      <c r="E5" s="13" t="s">
        <v>35</v>
      </c>
      <c r="F5" s="13" t="s">
        <v>48</v>
      </c>
    </row>
    <row r="6" spans="1:6" ht="19" customHeight="1">
      <c r="A6" s="10">
        <v>1005</v>
      </c>
      <c r="B6" s="11" t="s">
        <v>49</v>
      </c>
      <c r="C6" s="11" t="s">
        <v>33</v>
      </c>
      <c r="D6" s="11" t="s">
        <v>34</v>
      </c>
      <c r="E6" s="11" t="s">
        <v>50</v>
      </c>
      <c r="F6" s="11" t="s">
        <v>51</v>
      </c>
    </row>
    <row r="7" spans="1:6" ht="19" customHeight="1">
      <c r="A7" s="12">
        <v>1006</v>
      </c>
      <c r="B7" s="13" t="s">
        <v>52</v>
      </c>
      <c r="C7" s="13" t="s">
        <v>38</v>
      </c>
      <c r="D7" s="13" t="s">
        <v>47</v>
      </c>
      <c r="E7" s="13" t="s">
        <v>35</v>
      </c>
      <c r="F7" s="13" t="s">
        <v>53</v>
      </c>
    </row>
    <row r="8" spans="1:6" ht="19" customHeight="1">
      <c r="A8" s="10">
        <v>1007</v>
      </c>
      <c r="B8" s="11" t="s">
        <v>54</v>
      </c>
      <c r="C8" s="11" t="s">
        <v>33</v>
      </c>
      <c r="D8" s="11" t="s">
        <v>43</v>
      </c>
      <c r="E8" s="11" t="s">
        <v>55</v>
      </c>
      <c r="F8" s="11" t="s">
        <v>56</v>
      </c>
    </row>
    <row r="9" spans="1:6" ht="19" customHeight="1">
      <c r="A9" s="12">
        <v>1008</v>
      </c>
      <c r="B9" s="13" t="s">
        <v>57</v>
      </c>
      <c r="C9" s="13" t="s">
        <v>38</v>
      </c>
      <c r="D9" s="13" t="s">
        <v>39</v>
      </c>
      <c r="E9" s="13" t="s">
        <v>40</v>
      </c>
      <c r="F9" s="13" t="s">
        <v>58</v>
      </c>
    </row>
    <row r="10" spans="1:6" ht="19" customHeight="1">
      <c r="A10" s="10">
        <v>1009</v>
      </c>
      <c r="B10" s="11" t="s">
        <v>59</v>
      </c>
      <c r="C10" s="11" t="s">
        <v>33</v>
      </c>
      <c r="D10" s="11" t="s">
        <v>34</v>
      </c>
      <c r="E10" s="11" t="s">
        <v>35</v>
      </c>
      <c r="F10" s="11" t="s">
        <v>60</v>
      </c>
    </row>
    <row r="11" spans="1:6" ht="19" customHeight="1">
      <c r="A11" s="12">
        <v>1010</v>
      </c>
      <c r="B11" s="13" t="s">
        <v>61</v>
      </c>
      <c r="C11" s="13" t="s">
        <v>38</v>
      </c>
      <c r="D11" s="13" t="s">
        <v>47</v>
      </c>
      <c r="E11" s="13" t="s">
        <v>44</v>
      </c>
      <c r="F11" s="13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/>
  <cols>
    <col min="1" max="1" width="14" customWidth="1"/>
    <col min="2" max="2" width="30" customWidth="1"/>
    <col min="3" max="3" width="14" customWidth="1"/>
    <col min="4" max="4" width="20" customWidth="1"/>
    <col min="5" max="5" width="16" customWidth="1"/>
    <col min="6" max="6" width="13" customWidth="1"/>
  </cols>
  <sheetData>
    <row r="1" spans="1:6" ht="26" customHeight="1">
      <c r="A1" s="9" t="s">
        <v>12</v>
      </c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</row>
    <row r="2" spans="1:6" ht="19" customHeight="1">
      <c r="A2" s="10">
        <v>201</v>
      </c>
      <c r="B2" s="11" t="s">
        <v>68</v>
      </c>
      <c r="C2" s="11" t="s">
        <v>69</v>
      </c>
      <c r="D2" s="11" t="s">
        <v>70</v>
      </c>
      <c r="E2" s="14">
        <v>850</v>
      </c>
      <c r="F2" s="14">
        <v>1299.99</v>
      </c>
    </row>
    <row r="3" spans="1:6" ht="19" customHeight="1">
      <c r="A3" s="12">
        <v>202</v>
      </c>
      <c r="B3" s="13" t="s">
        <v>71</v>
      </c>
      <c r="C3" s="13" t="s">
        <v>69</v>
      </c>
      <c r="D3" s="13" t="s">
        <v>72</v>
      </c>
      <c r="E3" s="15">
        <v>180</v>
      </c>
      <c r="F3" s="15">
        <v>299.99</v>
      </c>
    </row>
    <row r="4" spans="1:6" ht="19" customHeight="1">
      <c r="A4" s="10">
        <v>203</v>
      </c>
      <c r="B4" s="11" t="s">
        <v>73</v>
      </c>
      <c r="C4" s="11" t="s">
        <v>74</v>
      </c>
      <c r="D4" s="11" t="s">
        <v>75</v>
      </c>
      <c r="E4" s="14">
        <v>240</v>
      </c>
      <c r="F4" s="14">
        <v>399.99</v>
      </c>
    </row>
    <row r="5" spans="1:6" ht="19" customHeight="1">
      <c r="A5" s="12">
        <v>204</v>
      </c>
      <c r="B5" s="13" t="s">
        <v>76</v>
      </c>
      <c r="C5" s="13" t="s">
        <v>69</v>
      </c>
      <c r="D5" s="13" t="s">
        <v>77</v>
      </c>
      <c r="E5" s="15">
        <v>25</v>
      </c>
      <c r="F5" s="15">
        <v>49.99</v>
      </c>
    </row>
    <row r="6" spans="1:6" ht="19" customHeight="1">
      <c r="A6" s="10">
        <v>205</v>
      </c>
      <c r="B6" s="11" t="s">
        <v>78</v>
      </c>
      <c r="C6" s="11" t="s">
        <v>69</v>
      </c>
      <c r="D6" s="11" t="s">
        <v>79</v>
      </c>
      <c r="E6" s="14">
        <v>110</v>
      </c>
      <c r="F6" s="14">
        <v>199.99</v>
      </c>
    </row>
    <row r="7" spans="1:6" ht="19" customHeight="1">
      <c r="A7" s="12">
        <v>206</v>
      </c>
      <c r="B7" s="13" t="s">
        <v>80</v>
      </c>
      <c r="C7" s="13" t="s">
        <v>69</v>
      </c>
      <c r="D7" s="13" t="s">
        <v>81</v>
      </c>
      <c r="E7" s="15">
        <v>45</v>
      </c>
      <c r="F7" s="15">
        <v>89.99</v>
      </c>
    </row>
    <row r="8" spans="1:6" ht="19" customHeight="1">
      <c r="A8" s="10">
        <v>207</v>
      </c>
      <c r="B8" s="11" t="s">
        <v>82</v>
      </c>
      <c r="C8" s="11" t="s">
        <v>69</v>
      </c>
      <c r="D8" s="11" t="s">
        <v>77</v>
      </c>
      <c r="E8" s="14">
        <v>60</v>
      </c>
      <c r="F8" s="14">
        <v>109.99</v>
      </c>
    </row>
    <row r="9" spans="1:6" ht="19" customHeight="1">
      <c r="A9" s="12">
        <v>208</v>
      </c>
      <c r="B9" s="13" t="s">
        <v>83</v>
      </c>
      <c r="C9" s="13" t="s">
        <v>69</v>
      </c>
      <c r="D9" s="13" t="s">
        <v>77</v>
      </c>
      <c r="E9" s="15">
        <v>85</v>
      </c>
      <c r="F9" s="15">
        <v>149.99</v>
      </c>
    </row>
    <row r="10" spans="1:6" ht="19" customHeight="1">
      <c r="A10" s="10">
        <v>209</v>
      </c>
      <c r="B10" s="11" t="s">
        <v>84</v>
      </c>
      <c r="C10" s="11" t="s">
        <v>69</v>
      </c>
      <c r="D10" s="11" t="s">
        <v>77</v>
      </c>
      <c r="E10" s="14">
        <v>22</v>
      </c>
      <c r="F10" s="14">
        <v>45</v>
      </c>
    </row>
    <row r="11" spans="1:6" ht="19" customHeight="1">
      <c r="A11" s="12">
        <v>210</v>
      </c>
      <c r="B11" s="13" t="s">
        <v>85</v>
      </c>
      <c r="C11" s="13" t="s">
        <v>69</v>
      </c>
      <c r="D11" s="13" t="s">
        <v>86</v>
      </c>
      <c r="E11" s="15">
        <v>75</v>
      </c>
      <c r="F11" s="15">
        <v>129.99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/>
  <cols>
    <col min="1" max="1" width="12" customWidth="1"/>
    <col min="2" max="2" width="35" customWidth="1"/>
    <col min="3" max="3" width="18" customWidth="1"/>
    <col min="4" max="4" width="17" customWidth="1"/>
    <col min="5" max="5" width="20" customWidth="1"/>
  </cols>
  <sheetData>
    <row r="1" spans="1:5" ht="26" customHeight="1">
      <c r="A1" s="9" t="s">
        <v>15</v>
      </c>
      <c r="B1" s="9" t="s">
        <v>87</v>
      </c>
      <c r="C1" s="9" t="s">
        <v>88</v>
      </c>
      <c r="D1" s="9" t="s">
        <v>89</v>
      </c>
      <c r="E1" s="9" t="s">
        <v>90</v>
      </c>
    </row>
    <row r="2" spans="1:5" ht="19" customHeight="1">
      <c r="A2" s="10">
        <v>1</v>
      </c>
      <c r="B2" s="11" t="s">
        <v>91</v>
      </c>
      <c r="C2" s="11" t="s">
        <v>92</v>
      </c>
      <c r="D2" s="11" t="s">
        <v>93</v>
      </c>
      <c r="E2" s="11" t="s">
        <v>94</v>
      </c>
    </row>
    <row r="3" spans="1:5" ht="19" customHeight="1">
      <c r="A3" s="12">
        <v>2</v>
      </c>
      <c r="B3" s="13" t="s">
        <v>95</v>
      </c>
      <c r="C3" s="13" t="s">
        <v>92</v>
      </c>
      <c r="D3" s="13" t="s">
        <v>96</v>
      </c>
      <c r="E3" s="13" t="s">
        <v>97</v>
      </c>
    </row>
    <row r="4" spans="1:5" ht="19" customHeight="1">
      <c r="A4" s="10">
        <v>3</v>
      </c>
      <c r="B4" s="11" t="s">
        <v>98</v>
      </c>
      <c r="C4" s="11" t="s">
        <v>92</v>
      </c>
      <c r="D4" s="11" t="s">
        <v>99</v>
      </c>
      <c r="E4" s="11" t="s">
        <v>100</v>
      </c>
    </row>
    <row r="5" spans="1:5" ht="19" customHeight="1">
      <c r="A5" s="12">
        <v>4</v>
      </c>
      <c r="B5" s="13" t="s">
        <v>101</v>
      </c>
      <c r="C5" s="13" t="s">
        <v>92</v>
      </c>
      <c r="D5" s="13" t="s">
        <v>96</v>
      </c>
      <c r="E5" s="13" t="s">
        <v>102</v>
      </c>
    </row>
    <row r="6" spans="1:5" ht="19" customHeight="1">
      <c r="A6" s="10">
        <v>5</v>
      </c>
      <c r="B6" s="11" t="s">
        <v>103</v>
      </c>
      <c r="C6" s="11" t="s">
        <v>104</v>
      </c>
      <c r="D6" s="11" t="s">
        <v>105</v>
      </c>
      <c r="E6" s="11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5"/>
  <cols>
    <col min="1" max="1" width="18" customWidth="1"/>
    <col min="2" max="2" width="28" customWidth="1"/>
    <col min="3" max="3" width="21" customWidth="1"/>
    <col min="4" max="4" width="18" customWidth="1"/>
  </cols>
  <sheetData>
    <row r="1" spans="1:4" ht="26" customHeight="1">
      <c r="A1" s="9" t="s">
        <v>21</v>
      </c>
      <c r="B1" s="9" t="s">
        <v>107</v>
      </c>
      <c r="C1" s="9" t="s">
        <v>108</v>
      </c>
      <c r="D1" s="9" t="s">
        <v>109</v>
      </c>
    </row>
    <row r="2" spans="1:4" ht="19" customHeight="1">
      <c r="A2" s="10">
        <v>301</v>
      </c>
      <c r="B2" s="11" t="s">
        <v>110</v>
      </c>
      <c r="C2" s="11" t="s">
        <v>111</v>
      </c>
      <c r="D2" s="16">
        <v>0.05</v>
      </c>
    </row>
    <row r="3" spans="1:4" ht="19" customHeight="1">
      <c r="A3" s="12">
        <v>302</v>
      </c>
      <c r="B3" s="13" t="s">
        <v>112</v>
      </c>
      <c r="C3" s="13" t="s">
        <v>113</v>
      </c>
      <c r="D3" s="17">
        <v>0.06</v>
      </c>
    </row>
    <row r="4" spans="1:4" ht="19" customHeight="1">
      <c r="A4" s="10">
        <v>303</v>
      </c>
      <c r="B4" s="11" t="s">
        <v>114</v>
      </c>
      <c r="C4" s="11" t="s">
        <v>115</v>
      </c>
      <c r="D4" s="16">
        <v>5.5E-2</v>
      </c>
    </row>
    <row r="5" spans="1:4" ht="19" customHeight="1">
      <c r="A5" s="12">
        <v>304</v>
      </c>
      <c r="B5" s="13" t="s">
        <v>116</v>
      </c>
      <c r="C5" s="13" t="s">
        <v>117</v>
      </c>
      <c r="D5" s="17">
        <v>0.04</v>
      </c>
    </row>
    <row r="6" spans="1:4" ht="19" customHeight="1">
      <c r="A6" s="10">
        <v>305</v>
      </c>
      <c r="B6" s="11" t="s">
        <v>118</v>
      </c>
      <c r="C6" s="11" t="s">
        <v>119</v>
      </c>
      <c r="D6" s="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/>
  </sheetViews>
  <sheetFormatPr defaultRowHeight="14.5"/>
  <cols>
    <col min="1" max="1" width="12" customWidth="1"/>
    <col min="2" max="2" width="23" customWidth="1"/>
    <col min="3" max="5" width="12" customWidth="1"/>
    <col min="6" max="8" width="13" customWidth="1"/>
  </cols>
  <sheetData>
    <row r="1" spans="1:8" ht="26" customHeight="1">
      <c r="A1" s="9" t="s">
        <v>18</v>
      </c>
      <c r="B1" s="9" t="s">
        <v>120</v>
      </c>
      <c r="C1" s="9" t="s">
        <v>121</v>
      </c>
      <c r="D1" s="9" t="s">
        <v>122</v>
      </c>
      <c r="E1" s="9" t="s">
        <v>123</v>
      </c>
      <c r="F1" s="9" t="s">
        <v>124</v>
      </c>
      <c r="G1" s="9" t="s">
        <v>125</v>
      </c>
      <c r="H1" s="9" t="s">
        <v>126</v>
      </c>
    </row>
    <row r="2" spans="1:8" ht="19" customHeight="1">
      <c r="A2" s="10">
        <v>20260101</v>
      </c>
      <c r="B2" s="18">
        <v>46023</v>
      </c>
      <c r="C2" s="10">
        <v>2026</v>
      </c>
      <c r="D2" s="11" t="s">
        <v>127</v>
      </c>
      <c r="E2" s="10">
        <v>1</v>
      </c>
      <c r="F2" s="11" t="s">
        <v>128</v>
      </c>
      <c r="G2" s="11" t="s">
        <v>129</v>
      </c>
      <c r="H2" s="10">
        <v>0</v>
      </c>
    </row>
    <row r="3" spans="1:8" ht="19" customHeight="1">
      <c r="A3" s="12">
        <v>20260102</v>
      </c>
      <c r="B3" s="19">
        <v>46024</v>
      </c>
      <c r="C3" s="12">
        <v>2026</v>
      </c>
      <c r="D3" s="13" t="s">
        <v>127</v>
      </c>
      <c r="E3" s="12">
        <v>1</v>
      </c>
      <c r="F3" s="13" t="s">
        <v>128</v>
      </c>
      <c r="G3" s="13" t="s">
        <v>130</v>
      </c>
      <c r="H3" s="12">
        <v>0</v>
      </c>
    </row>
    <row r="4" spans="1:8" ht="19" customHeight="1">
      <c r="A4" s="10">
        <v>20260103</v>
      </c>
      <c r="B4" s="18">
        <v>46025</v>
      </c>
      <c r="C4" s="10">
        <v>2026</v>
      </c>
      <c r="D4" s="11" t="s">
        <v>127</v>
      </c>
      <c r="E4" s="10">
        <v>1</v>
      </c>
      <c r="F4" s="11" t="s">
        <v>128</v>
      </c>
      <c r="G4" s="11" t="s">
        <v>131</v>
      </c>
      <c r="H4" s="10">
        <v>1</v>
      </c>
    </row>
    <row r="5" spans="1:8" ht="19" customHeight="1">
      <c r="A5" s="12">
        <v>20260104</v>
      </c>
      <c r="B5" s="19">
        <v>46026</v>
      </c>
      <c r="C5" s="12">
        <v>2026</v>
      </c>
      <c r="D5" s="13" t="s">
        <v>127</v>
      </c>
      <c r="E5" s="12">
        <v>1</v>
      </c>
      <c r="F5" s="13" t="s">
        <v>128</v>
      </c>
      <c r="G5" s="13" t="s">
        <v>132</v>
      </c>
      <c r="H5" s="12">
        <v>1</v>
      </c>
    </row>
    <row r="6" spans="1:8" ht="19" customHeight="1">
      <c r="A6" s="10">
        <v>20260105</v>
      </c>
      <c r="B6" s="18">
        <v>46027</v>
      </c>
      <c r="C6" s="10">
        <v>2026</v>
      </c>
      <c r="D6" s="11" t="s">
        <v>127</v>
      </c>
      <c r="E6" s="10">
        <v>1</v>
      </c>
      <c r="F6" s="11" t="s">
        <v>128</v>
      </c>
      <c r="G6" s="11" t="s">
        <v>133</v>
      </c>
      <c r="H6" s="10">
        <v>0</v>
      </c>
    </row>
    <row r="7" spans="1:8" ht="19" customHeight="1">
      <c r="A7" s="12">
        <v>20260106</v>
      </c>
      <c r="B7" s="19">
        <v>46028</v>
      </c>
      <c r="C7" s="12">
        <v>2026</v>
      </c>
      <c r="D7" s="13" t="s">
        <v>127</v>
      </c>
      <c r="E7" s="12">
        <v>1</v>
      </c>
      <c r="F7" s="13" t="s">
        <v>128</v>
      </c>
      <c r="G7" s="13" t="s">
        <v>134</v>
      </c>
      <c r="H7" s="12">
        <v>0</v>
      </c>
    </row>
    <row r="8" spans="1:8" ht="19" customHeight="1">
      <c r="A8" s="10">
        <v>20260107</v>
      </c>
      <c r="B8" s="18">
        <v>46029</v>
      </c>
      <c r="C8" s="10">
        <v>2026</v>
      </c>
      <c r="D8" s="11" t="s">
        <v>127</v>
      </c>
      <c r="E8" s="10">
        <v>1</v>
      </c>
      <c r="F8" s="11" t="s">
        <v>128</v>
      </c>
      <c r="G8" s="11" t="s">
        <v>135</v>
      </c>
      <c r="H8" s="10">
        <v>0</v>
      </c>
    </row>
    <row r="9" spans="1:8" ht="19" customHeight="1">
      <c r="A9" s="12">
        <v>20260108</v>
      </c>
      <c r="B9" s="19">
        <v>46030</v>
      </c>
      <c r="C9" s="12">
        <v>2026</v>
      </c>
      <c r="D9" s="13" t="s">
        <v>127</v>
      </c>
      <c r="E9" s="12">
        <v>1</v>
      </c>
      <c r="F9" s="13" t="s">
        <v>128</v>
      </c>
      <c r="G9" s="13" t="s">
        <v>129</v>
      </c>
      <c r="H9" s="12">
        <v>0</v>
      </c>
    </row>
    <row r="10" spans="1:8" ht="19" customHeight="1">
      <c r="A10" s="10">
        <v>20260109</v>
      </c>
      <c r="B10" s="18">
        <v>46031</v>
      </c>
      <c r="C10" s="10">
        <v>2026</v>
      </c>
      <c r="D10" s="11" t="s">
        <v>127</v>
      </c>
      <c r="E10" s="10">
        <v>1</v>
      </c>
      <c r="F10" s="11" t="s">
        <v>128</v>
      </c>
      <c r="G10" s="11" t="s">
        <v>130</v>
      </c>
      <c r="H10" s="10">
        <v>0</v>
      </c>
    </row>
    <row r="11" spans="1:8" ht="19" customHeight="1">
      <c r="A11" s="12">
        <v>20260110</v>
      </c>
      <c r="B11" s="19">
        <v>46032</v>
      </c>
      <c r="C11" s="12">
        <v>2026</v>
      </c>
      <c r="D11" s="13" t="s">
        <v>127</v>
      </c>
      <c r="E11" s="12">
        <v>1</v>
      </c>
      <c r="F11" s="13" t="s">
        <v>128</v>
      </c>
      <c r="G11" s="13" t="s">
        <v>131</v>
      </c>
      <c r="H11" s="12">
        <v>1</v>
      </c>
    </row>
    <row r="12" spans="1:8" ht="19" customHeight="1">
      <c r="A12" s="10">
        <v>20260111</v>
      </c>
      <c r="B12" s="18">
        <v>46033</v>
      </c>
      <c r="C12" s="10">
        <v>2026</v>
      </c>
      <c r="D12" s="11" t="s">
        <v>127</v>
      </c>
      <c r="E12" s="10">
        <v>1</v>
      </c>
      <c r="F12" s="11" t="s">
        <v>128</v>
      </c>
      <c r="G12" s="11" t="s">
        <v>132</v>
      </c>
      <c r="H12" s="10">
        <v>1</v>
      </c>
    </row>
    <row r="13" spans="1:8" ht="19" customHeight="1">
      <c r="A13" s="12">
        <v>20260112</v>
      </c>
      <c r="B13" s="19">
        <v>46034</v>
      </c>
      <c r="C13" s="12">
        <v>2026</v>
      </c>
      <c r="D13" s="13" t="s">
        <v>127</v>
      </c>
      <c r="E13" s="12">
        <v>1</v>
      </c>
      <c r="F13" s="13" t="s">
        <v>128</v>
      </c>
      <c r="G13" s="13" t="s">
        <v>133</v>
      </c>
      <c r="H13" s="12">
        <v>0</v>
      </c>
    </row>
    <row r="14" spans="1:8" ht="19" customHeight="1">
      <c r="A14" s="10">
        <v>20260113</v>
      </c>
      <c r="B14" s="18">
        <v>46035</v>
      </c>
      <c r="C14" s="10">
        <v>2026</v>
      </c>
      <c r="D14" s="11" t="s">
        <v>127</v>
      </c>
      <c r="E14" s="10">
        <v>1</v>
      </c>
      <c r="F14" s="11" t="s">
        <v>128</v>
      </c>
      <c r="G14" s="11" t="s">
        <v>134</v>
      </c>
      <c r="H14" s="10">
        <v>0</v>
      </c>
    </row>
    <row r="15" spans="1:8" ht="19" customHeight="1">
      <c r="A15" s="12">
        <v>20260114</v>
      </c>
      <c r="B15" s="19">
        <v>46036</v>
      </c>
      <c r="C15" s="12">
        <v>2026</v>
      </c>
      <c r="D15" s="13" t="s">
        <v>127</v>
      </c>
      <c r="E15" s="12">
        <v>1</v>
      </c>
      <c r="F15" s="13" t="s">
        <v>128</v>
      </c>
      <c r="G15" s="13" t="s">
        <v>135</v>
      </c>
      <c r="H15" s="12">
        <v>0</v>
      </c>
    </row>
    <row r="16" spans="1:8" ht="19" customHeight="1">
      <c r="A16" s="10">
        <v>20260115</v>
      </c>
      <c r="B16" s="18">
        <v>46037</v>
      </c>
      <c r="C16" s="10">
        <v>2026</v>
      </c>
      <c r="D16" s="11" t="s">
        <v>127</v>
      </c>
      <c r="E16" s="10">
        <v>1</v>
      </c>
      <c r="F16" s="11" t="s">
        <v>128</v>
      </c>
      <c r="G16" s="11" t="s">
        <v>129</v>
      </c>
      <c r="H16" s="10">
        <v>0</v>
      </c>
    </row>
    <row r="17" spans="1:8" ht="19" customHeight="1">
      <c r="A17" s="12">
        <v>20260116</v>
      </c>
      <c r="B17" s="19">
        <v>46038</v>
      </c>
      <c r="C17" s="12">
        <v>2026</v>
      </c>
      <c r="D17" s="13" t="s">
        <v>127</v>
      </c>
      <c r="E17" s="12">
        <v>1</v>
      </c>
      <c r="F17" s="13" t="s">
        <v>128</v>
      </c>
      <c r="G17" s="13" t="s">
        <v>130</v>
      </c>
      <c r="H17" s="12">
        <v>0</v>
      </c>
    </row>
    <row r="18" spans="1:8" ht="19" customHeight="1">
      <c r="A18" s="10">
        <v>20260117</v>
      </c>
      <c r="B18" s="18">
        <v>46039</v>
      </c>
      <c r="C18" s="10">
        <v>2026</v>
      </c>
      <c r="D18" s="11" t="s">
        <v>127</v>
      </c>
      <c r="E18" s="10">
        <v>1</v>
      </c>
      <c r="F18" s="11" t="s">
        <v>128</v>
      </c>
      <c r="G18" s="11" t="s">
        <v>131</v>
      </c>
      <c r="H18" s="10">
        <v>1</v>
      </c>
    </row>
    <row r="19" spans="1:8" ht="19" customHeight="1">
      <c r="A19" s="12">
        <v>20260118</v>
      </c>
      <c r="B19" s="19">
        <v>46040</v>
      </c>
      <c r="C19" s="12">
        <v>2026</v>
      </c>
      <c r="D19" s="13" t="s">
        <v>127</v>
      </c>
      <c r="E19" s="12">
        <v>1</v>
      </c>
      <c r="F19" s="13" t="s">
        <v>128</v>
      </c>
      <c r="G19" s="13" t="s">
        <v>132</v>
      </c>
      <c r="H19" s="12">
        <v>1</v>
      </c>
    </row>
    <row r="20" spans="1:8" ht="19" customHeight="1">
      <c r="A20" s="10">
        <v>20260119</v>
      </c>
      <c r="B20" s="18">
        <v>46041</v>
      </c>
      <c r="C20" s="10">
        <v>2026</v>
      </c>
      <c r="D20" s="11" t="s">
        <v>127</v>
      </c>
      <c r="E20" s="10">
        <v>1</v>
      </c>
      <c r="F20" s="11" t="s">
        <v>128</v>
      </c>
      <c r="G20" s="11" t="s">
        <v>133</v>
      </c>
      <c r="H20" s="10">
        <v>0</v>
      </c>
    </row>
    <row r="21" spans="1:8" ht="19" customHeight="1">
      <c r="A21" s="12">
        <v>20260120</v>
      </c>
      <c r="B21" s="19">
        <v>46042</v>
      </c>
      <c r="C21" s="12">
        <v>2026</v>
      </c>
      <c r="D21" s="13" t="s">
        <v>127</v>
      </c>
      <c r="E21" s="12">
        <v>1</v>
      </c>
      <c r="F21" s="13" t="s">
        <v>128</v>
      </c>
      <c r="G21" s="13" t="s">
        <v>134</v>
      </c>
      <c r="H21" s="12">
        <v>0</v>
      </c>
    </row>
    <row r="22" spans="1:8" ht="19" customHeight="1">
      <c r="A22" s="10">
        <v>20260121</v>
      </c>
      <c r="B22" s="18">
        <v>46043</v>
      </c>
      <c r="C22" s="10">
        <v>2026</v>
      </c>
      <c r="D22" s="11" t="s">
        <v>127</v>
      </c>
      <c r="E22" s="10">
        <v>1</v>
      </c>
      <c r="F22" s="11" t="s">
        <v>128</v>
      </c>
      <c r="G22" s="11" t="s">
        <v>135</v>
      </c>
      <c r="H22" s="10">
        <v>0</v>
      </c>
    </row>
    <row r="23" spans="1:8" ht="19" customHeight="1">
      <c r="A23" s="12">
        <v>20260122</v>
      </c>
      <c r="B23" s="19">
        <v>46044</v>
      </c>
      <c r="C23" s="12">
        <v>2026</v>
      </c>
      <c r="D23" s="13" t="s">
        <v>127</v>
      </c>
      <c r="E23" s="12">
        <v>1</v>
      </c>
      <c r="F23" s="13" t="s">
        <v>128</v>
      </c>
      <c r="G23" s="13" t="s">
        <v>129</v>
      </c>
      <c r="H23" s="12">
        <v>0</v>
      </c>
    </row>
    <row r="24" spans="1:8" ht="19" customHeight="1">
      <c r="A24" s="10">
        <v>20260123</v>
      </c>
      <c r="B24" s="18">
        <v>46045</v>
      </c>
      <c r="C24" s="10">
        <v>2026</v>
      </c>
      <c r="D24" s="11" t="s">
        <v>127</v>
      </c>
      <c r="E24" s="10">
        <v>1</v>
      </c>
      <c r="F24" s="11" t="s">
        <v>128</v>
      </c>
      <c r="G24" s="11" t="s">
        <v>130</v>
      </c>
      <c r="H24" s="10">
        <v>0</v>
      </c>
    </row>
    <row r="25" spans="1:8" ht="19" customHeight="1">
      <c r="A25" s="12">
        <v>20260124</v>
      </c>
      <c r="B25" s="19">
        <v>46046</v>
      </c>
      <c r="C25" s="12">
        <v>2026</v>
      </c>
      <c r="D25" s="13" t="s">
        <v>127</v>
      </c>
      <c r="E25" s="12">
        <v>1</v>
      </c>
      <c r="F25" s="13" t="s">
        <v>128</v>
      </c>
      <c r="G25" s="13" t="s">
        <v>131</v>
      </c>
      <c r="H25" s="12">
        <v>1</v>
      </c>
    </row>
    <row r="26" spans="1:8" ht="19" customHeight="1">
      <c r="A26" s="10">
        <v>20260125</v>
      </c>
      <c r="B26" s="18">
        <v>46047</v>
      </c>
      <c r="C26" s="10">
        <v>2026</v>
      </c>
      <c r="D26" s="11" t="s">
        <v>127</v>
      </c>
      <c r="E26" s="10">
        <v>1</v>
      </c>
      <c r="F26" s="11" t="s">
        <v>128</v>
      </c>
      <c r="G26" s="11" t="s">
        <v>132</v>
      </c>
      <c r="H26" s="10">
        <v>1</v>
      </c>
    </row>
    <row r="27" spans="1:8" ht="19" customHeight="1">
      <c r="A27" s="12">
        <v>20260126</v>
      </c>
      <c r="B27" s="19">
        <v>46048</v>
      </c>
      <c r="C27" s="12">
        <v>2026</v>
      </c>
      <c r="D27" s="13" t="s">
        <v>127</v>
      </c>
      <c r="E27" s="12">
        <v>1</v>
      </c>
      <c r="F27" s="13" t="s">
        <v>128</v>
      </c>
      <c r="G27" s="13" t="s">
        <v>133</v>
      </c>
      <c r="H27" s="12">
        <v>0</v>
      </c>
    </row>
    <row r="28" spans="1:8" ht="19" customHeight="1">
      <c r="A28" s="10">
        <v>20260127</v>
      </c>
      <c r="B28" s="18">
        <v>46049</v>
      </c>
      <c r="C28" s="10">
        <v>2026</v>
      </c>
      <c r="D28" s="11" t="s">
        <v>127</v>
      </c>
      <c r="E28" s="10">
        <v>1</v>
      </c>
      <c r="F28" s="11" t="s">
        <v>128</v>
      </c>
      <c r="G28" s="11" t="s">
        <v>134</v>
      </c>
      <c r="H28" s="10">
        <v>0</v>
      </c>
    </row>
    <row r="29" spans="1:8" ht="19" customHeight="1">
      <c r="A29" s="12">
        <v>20260128</v>
      </c>
      <c r="B29" s="19">
        <v>46050</v>
      </c>
      <c r="C29" s="12">
        <v>2026</v>
      </c>
      <c r="D29" s="13" t="s">
        <v>127</v>
      </c>
      <c r="E29" s="12">
        <v>1</v>
      </c>
      <c r="F29" s="13" t="s">
        <v>128</v>
      </c>
      <c r="G29" s="13" t="s">
        <v>135</v>
      </c>
      <c r="H29" s="12">
        <v>0</v>
      </c>
    </row>
    <row r="30" spans="1:8" ht="19" customHeight="1">
      <c r="A30" s="10">
        <v>20260129</v>
      </c>
      <c r="B30" s="18">
        <v>46051</v>
      </c>
      <c r="C30" s="10">
        <v>2026</v>
      </c>
      <c r="D30" s="11" t="s">
        <v>127</v>
      </c>
      <c r="E30" s="10">
        <v>1</v>
      </c>
      <c r="F30" s="11" t="s">
        <v>128</v>
      </c>
      <c r="G30" s="11" t="s">
        <v>129</v>
      </c>
      <c r="H30" s="10">
        <v>0</v>
      </c>
    </row>
    <row r="31" spans="1:8" ht="19" customHeight="1">
      <c r="A31" s="12">
        <v>20260130</v>
      </c>
      <c r="B31" s="19">
        <v>46052</v>
      </c>
      <c r="C31" s="12">
        <v>2026</v>
      </c>
      <c r="D31" s="13" t="s">
        <v>127</v>
      </c>
      <c r="E31" s="12">
        <v>1</v>
      </c>
      <c r="F31" s="13" t="s">
        <v>128</v>
      </c>
      <c r="G31" s="13" t="s">
        <v>130</v>
      </c>
      <c r="H31" s="12">
        <v>0</v>
      </c>
    </row>
    <row r="32" spans="1:8" ht="19" customHeight="1">
      <c r="A32" s="10">
        <v>20260131</v>
      </c>
      <c r="B32" s="18">
        <v>46053</v>
      </c>
      <c r="C32" s="10">
        <v>2026</v>
      </c>
      <c r="D32" s="11" t="s">
        <v>127</v>
      </c>
      <c r="E32" s="10">
        <v>1</v>
      </c>
      <c r="F32" s="11" t="s">
        <v>128</v>
      </c>
      <c r="G32" s="11" t="s">
        <v>131</v>
      </c>
      <c r="H32" s="1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"/>
  <sheetViews>
    <sheetView tabSelected="1" topLeftCell="A16" workbookViewId="0">
      <selection activeCell="A22" sqref="A22"/>
    </sheetView>
  </sheetViews>
  <sheetFormatPr defaultRowHeight="14.5"/>
  <cols>
    <col min="1" max="1" width="20" customWidth="1"/>
    <col min="2" max="2" width="12" customWidth="1"/>
    <col min="3" max="3" width="15" customWidth="1"/>
    <col min="4" max="4" width="14" customWidth="1"/>
    <col min="5" max="5" width="12" customWidth="1"/>
    <col min="6" max="6" width="18" customWidth="1"/>
    <col min="7" max="7" width="16" customWidth="1"/>
    <col min="8" max="8" width="13" customWidth="1"/>
    <col min="9" max="9" width="12" customWidth="1"/>
    <col min="10" max="11" width="18" customWidth="1"/>
    <col min="12" max="13" width="16" customWidth="1"/>
  </cols>
  <sheetData>
    <row r="1" spans="1:13" ht="26" customHeight="1">
      <c r="A1" s="9" t="s">
        <v>136</v>
      </c>
      <c r="B1" s="9" t="s">
        <v>18</v>
      </c>
      <c r="C1" s="9" t="s">
        <v>9</v>
      </c>
      <c r="D1" s="9" t="s">
        <v>12</v>
      </c>
      <c r="E1" s="9" t="s">
        <v>15</v>
      </c>
      <c r="F1" s="9" t="s">
        <v>21</v>
      </c>
      <c r="G1" s="9" t="s">
        <v>137</v>
      </c>
      <c r="H1" s="9" t="s">
        <v>138</v>
      </c>
      <c r="I1" s="9" t="s">
        <v>139</v>
      </c>
      <c r="J1" s="9" t="s">
        <v>140</v>
      </c>
      <c r="K1" s="20" t="s">
        <v>141</v>
      </c>
      <c r="L1" s="20" t="s">
        <v>142</v>
      </c>
      <c r="M1" s="20" t="s">
        <v>143</v>
      </c>
    </row>
    <row r="2" spans="1:13" ht="19" customHeight="1">
      <c r="A2" s="11" t="s">
        <v>144</v>
      </c>
      <c r="B2" s="10">
        <v>20260101</v>
      </c>
      <c r="C2" s="10">
        <v>1001</v>
      </c>
      <c r="D2" s="10">
        <v>201</v>
      </c>
      <c r="E2" s="10">
        <v>1</v>
      </c>
      <c r="F2" s="10">
        <v>301</v>
      </c>
      <c r="G2" s="10">
        <v>2</v>
      </c>
      <c r="H2" s="14">
        <v>1299.99</v>
      </c>
      <c r="I2" s="14">
        <v>850</v>
      </c>
      <c r="J2" s="14">
        <v>100</v>
      </c>
      <c r="K2" s="14">
        <f t="shared" ref="K2:K21" si="0">(G2*H2)-I2</f>
        <v>1749.98</v>
      </c>
      <c r="L2" s="14">
        <f t="shared" ref="L2:L21" si="1">G2*J2</f>
        <v>200</v>
      </c>
      <c r="M2" s="14">
        <f t="shared" ref="M2:M21" si="2">K2-L2</f>
        <v>1549.98</v>
      </c>
    </row>
    <row r="3" spans="1:13" ht="19" customHeight="1">
      <c r="A3" s="13" t="s">
        <v>145</v>
      </c>
      <c r="B3" s="12">
        <v>20260102</v>
      </c>
      <c r="C3" s="12">
        <v>1002</v>
      </c>
      <c r="D3" s="12">
        <v>204</v>
      </c>
      <c r="E3" s="12">
        <v>5</v>
      </c>
      <c r="F3" s="12">
        <v>305</v>
      </c>
      <c r="G3" s="12">
        <v>5</v>
      </c>
      <c r="H3" s="15">
        <v>49.99</v>
      </c>
      <c r="I3" s="15">
        <v>25</v>
      </c>
      <c r="J3" s="15">
        <v>0</v>
      </c>
      <c r="K3" s="15">
        <f t="shared" si="0"/>
        <v>224.95000000000002</v>
      </c>
      <c r="L3" s="15">
        <f t="shared" si="1"/>
        <v>0</v>
      </c>
      <c r="M3" s="15">
        <f t="shared" si="2"/>
        <v>224.95000000000002</v>
      </c>
    </row>
    <row r="4" spans="1:13" ht="19" customHeight="1">
      <c r="A4" s="11" t="s">
        <v>146</v>
      </c>
      <c r="B4" s="10">
        <v>20260103</v>
      </c>
      <c r="C4" s="10">
        <v>1003</v>
      </c>
      <c r="D4" s="10">
        <v>202</v>
      </c>
      <c r="E4" s="10">
        <v>2</v>
      </c>
      <c r="F4" s="10">
        <v>302</v>
      </c>
      <c r="G4" s="10">
        <v>1</v>
      </c>
      <c r="H4" s="14">
        <v>299.99</v>
      </c>
      <c r="I4" s="14">
        <v>180</v>
      </c>
      <c r="J4" s="14">
        <v>20</v>
      </c>
      <c r="K4" s="14">
        <f t="shared" si="0"/>
        <v>119.99000000000001</v>
      </c>
      <c r="L4" s="14">
        <f t="shared" si="1"/>
        <v>20</v>
      </c>
      <c r="M4" s="14">
        <f t="shared" si="2"/>
        <v>99.990000000000009</v>
      </c>
    </row>
    <row r="5" spans="1:13" ht="19" customHeight="1">
      <c r="A5" s="13" t="s">
        <v>147</v>
      </c>
      <c r="B5" s="12">
        <v>20260104</v>
      </c>
      <c r="C5" s="12">
        <v>1004</v>
      </c>
      <c r="D5" s="12">
        <v>205</v>
      </c>
      <c r="E5" s="12">
        <v>5</v>
      </c>
      <c r="F5" s="12">
        <v>305</v>
      </c>
      <c r="G5" s="12">
        <v>2</v>
      </c>
      <c r="H5" s="15">
        <v>199.99</v>
      </c>
      <c r="I5" s="15">
        <v>110</v>
      </c>
      <c r="J5" s="15">
        <v>0</v>
      </c>
      <c r="K5" s="15">
        <f t="shared" si="0"/>
        <v>289.98</v>
      </c>
      <c r="L5" s="15">
        <f t="shared" si="1"/>
        <v>0</v>
      </c>
      <c r="M5" s="15">
        <f t="shared" si="2"/>
        <v>289.98</v>
      </c>
    </row>
    <row r="6" spans="1:13" ht="19" customHeight="1">
      <c r="A6" s="11" t="s">
        <v>148</v>
      </c>
      <c r="B6" s="10">
        <v>20260105</v>
      </c>
      <c r="C6" s="10">
        <v>1005</v>
      </c>
      <c r="D6" s="10">
        <v>203</v>
      </c>
      <c r="E6" s="10">
        <v>3</v>
      </c>
      <c r="F6" s="10">
        <v>303</v>
      </c>
      <c r="G6" s="10">
        <v>4</v>
      </c>
      <c r="H6" s="14">
        <v>399.99</v>
      </c>
      <c r="I6" s="14">
        <v>240</v>
      </c>
      <c r="J6" s="14">
        <v>50</v>
      </c>
      <c r="K6" s="14">
        <f t="shared" si="0"/>
        <v>1359.96</v>
      </c>
      <c r="L6" s="14">
        <f t="shared" si="1"/>
        <v>200</v>
      </c>
      <c r="M6" s="14">
        <f t="shared" si="2"/>
        <v>1159.96</v>
      </c>
    </row>
    <row r="7" spans="1:13" ht="19" customHeight="1">
      <c r="A7" s="13" t="s">
        <v>149</v>
      </c>
      <c r="B7" s="12">
        <v>20260106</v>
      </c>
      <c r="C7" s="12">
        <v>1006</v>
      </c>
      <c r="D7" s="12">
        <v>206</v>
      </c>
      <c r="E7" s="12">
        <v>1</v>
      </c>
      <c r="F7" s="12">
        <v>301</v>
      </c>
      <c r="G7" s="12">
        <v>3</v>
      </c>
      <c r="H7" s="15">
        <v>89.99</v>
      </c>
      <c r="I7" s="15">
        <v>45</v>
      </c>
      <c r="J7" s="15">
        <v>10</v>
      </c>
      <c r="K7" s="15">
        <f t="shared" si="0"/>
        <v>224.96999999999997</v>
      </c>
      <c r="L7" s="15">
        <f t="shared" si="1"/>
        <v>30</v>
      </c>
      <c r="M7" s="15">
        <f t="shared" si="2"/>
        <v>194.96999999999997</v>
      </c>
    </row>
    <row r="8" spans="1:13" ht="19" customHeight="1">
      <c r="A8" s="11" t="s">
        <v>150</v>
      </c>
      <c r="B8" s="10">
        <v>20260107</v>
      </c>
      <c r="C8" s="10">
        <v>1007</v>
      </c>
      <c r="D8" s="10">
        <v>207</v>
      </c>
      <c r="E8" s="10">
        <v>4</v>
      </c>
      <c r="F8" s="10">
        <v>304</v>
      </c>
      <c r="G8" s="10">
        <v>2</v>
      </c>
      <c r="H8" s="14">
        <v>109.99</v>
      </c>
      <c r="I8" s="14">
        <v>60</v>
      </c>
      <c r="J8" s="14">
        <v>0</v>
      </c>
      <c r="K8" s="14">
        <f t="shared" si="0"/>
        <v>159.97999999999999</v>
      </c>
      <c r="L8" s="14">
        <f t="shared" si="1"/>
        <v>0</v>
      </c>
      <c r="M8" s="14">
        <f t="shared" si="2"/>
        <v>159.97999999999999</v>
      </c>
    </row>
    <row r="9" spans="1:13" ht="19" customHeight="1">
      <c r="A9" s="13" t="s">
        <v>151</v>
      </c>
      <c r="B9" s="12">
        <v>20260108</v>
      </c>
      <c r="C9" s="12">
        <v>1008</v>
      </c>
      <c r="D9" s="12">
        <v>208</v>
      </c>
      <c r="E9" s="12">
        <v>2</v>
      </c>
      <c r="F9" s="12">
        <v>302</v>
      </c>
      <c r="G9" s="12">
        <v>1</v>
      </c>
      <c r="H9" s="15">
        <v>149.99</v>
      </c>
      <c r="I9" s="15">
        <v>85</v>
      </c>
      <c r="J9" s="15">
        <v>15</v>
      </c>
      <c r="K9" s="15">
        <f t="shared" si="0"/>
        <v>64.990000000000009</v>
      </c>
      <c r="L9" s="15">
        <f t="shared" si="1"/>
        <v>15</v>
      </c>
      <c r="M9" s="15">
        <f t="shared" si="2"/>
        <v>49.990000000000009</v>
      </c>
    </row>
    <row r="10" spans="1:13" ht="19" customHeight="1">
      <c r="A10" s="11" t="s">
        <v>152</v>
      </c>
      <c r="B10" s="10">
        <v>20260109</v>
      </c>
      <c r="C10" s="10">
        <v>1009</v>
      </c>
      <c r="D10" s="10">
        <v>209</v>
      </c>
      <c r="E10" s="10">
        <v>5</v>
      </c>
      <c r="F10" s="10">
        <v>305</v>
      </c>
      <c r="G10" s="10">
        <v>10</v>
      </c>
      <c r="H10" s="14">
        <v>45</v>
      </c>
      <c r="I10" s="14">
        <v>22</v>
      </c>
      <c r="J10" s="14">
        <v>25</v>
      </c>
      <c r="K10" s="14">
        <f t="shared" si="0"/>
        <v>428</v>
      </c>
      <c r="L10" s="14">
        <f t="shared" si="1"/>
        <v>250</v>
      </c>
      <c r="M10" s="14">
        <f t="shared" si="2"/>
        <v>178</v>
      </c>
    </row>
    <row r="11" spans="1:13" ht="19" customHeight="1">
      <c r="A11" s="13" t="s">
        <v>153</v>
      </c>
      <c r="B11" s="12">
        <v>20260110</v>
      </c>
      <c r="C11" s="12">
        <v>1010</v>
      </c>
      <c r="D11" s="12">
        <v>210</v>
      </c>
      <c r="E11" s="12">
        <v>3</v>
      </c>
      <c r="F11" s="12">
        <v>303</v>
      </c>
      <c r="G11" s="12">
        <v>2</v>
      </c>
      <c r="H11" s="15">
        <v>129.99</v>
      </c>
      <c r="I11" s="15">
        <v>75</v>
      </c>
      <c r="J11" s="15">
        <v>0</v>
      </c>
      <c r="K11" s="15">
        <f t="shared" si="0"/>
        <v>184.98000000000002</v>
      </c>
      <c r="L11" s="15">
        <f t="shared" si="1"/>
        <v>0</v>
      </c>
      <c r="M11" s="15">
        <f t="shared" si="2"/>
        <v>184.98000000000002</v>
      </c>
    </row>
    <row r="12" spans="1:13" ht="19" customHeight="1">
      <c r="A12" s="11" t="s">
        <v>154</v>
      </c>
      <c r="B12" s="10">
        <v>20260111</v>
      </c>
      <c r="C12" s="10">
        <v>1001</v>
      </c>
      <c r="D12" s="10">
        <v>202</v>
      </c>
      <c r="E12" s="10">
        <v>1</v>
      </c>
      <c r="F12" s="10">
        <v>301</v>
      </c>
      <c r="G12" s="10">
        <v>4</v>
      </c>
      <c r="H12" s="14">
        <v>299.99</v>
      </c>
      <c r="I12" s="14">
        <v>180</v>
      </c>
      <c r="J12" s="14">
        <v>0</v>
      </c>
      <c r="K12" s="14">
        <f t="shared" si="0"/>
        <v>1019.96</v>
      </c>
      <c r="L12" s="14">
        <f t="shared" si="1"/>
        <v>0</v>
      </c>
      <c r="M12" s="14">
        <f t="shared" si="2"/>
        <v>1019.96</v>
      </c>
    </row>
    <row r="13" spans="1:13" ht="19" customHeight="1">
      <c r="A13" s="13" t="s">
        <v>155</v>
      </c>
      <c r="B13" s="12">
        <v>20260112</v>
      </c>
      <c r="C13" s="12">
        <v>1003</v>
      </c>
      <c r="D13" s="12">
        <v>201</v>
      </c>
      <c r="E13" s="12">
        <v>3</v>
      </c>
      <c r="F13" s="12">
        <v>303</v>
      </c>
      <c r="G13" s="12">
        <v>1</v>
      </c>
      <c r="H13" s="15">
        <v>1299.99</v>
      </c>
      <c r="I13" s="15">
        <v>850</v>
      </c>
      <c r="J13" s="15">
        <v>50</v>
      </c>
      <c r="K13" s="15">
        <f t="shared" si="0"/>
        <v>449.99</v>
      </c>
      <c r="L13" s="15">
        <f t="shared" si="1"/>
        <v>50</v>
      </c>
      <c r="M13" s="15">
        <f t="shared" si="2"/>
        <v>399.99</v>
      </c>
    </row>
    <row r="14" spans="1:13" ht="19" customHeight="1">
      <c r="A14" s="11" t="s">
        <v>156</v>
      </c>
      <c r="B14" s="10">
        <v>20260113</v>
      </c>
      <c r="C14" s="10">
        <v>1005</v>
      </c>
      <c r="D14" s="10">
        <v>205</v>
      </c>
      <c r="E14" s="10">
        <v>2</v>
      </c>
      <c r="F14" s="10">
        <v>302</v>
      </c>
      <c r="G14" s="10">
        <v>3</v>
      </c>
      <c r="H14" s="14">
        <v>199.99</v>
      </c>
      <c r="I14" s="14">
        <v>110</v>
      </c>
      <c r="J14" s="14">
        <v>30</v>
      </c>
      <c r="K14" s="14">
        <f t="shared" si="0"/>
        <v>489.97</v>
      </c>
      <c r="L14" s="14">
        <f t="shared" si="1"/>
        <v>90</v>
      </c>
      <c r="M14" s="14">
        <f t="shared" si="2"/>
        <v>399.97</v>
      </c>
    </row>
    <row r="15" spans="1:13" ht="19" customHeight="1">
      <c r="A15" s="13" t="s">
        <v>157</v>
      </c>
      <c r="B15" s="12">
        <v>20260114</v>
      </c>
      <c r="C15" s="12">
        <v>1002</v>
      </c>
      <c r="D15" s="12">
        <v>209</v>
      </c>
      <c r="E15" s="12">
        <v>5</v>
      </c>
      <c r="F15" s="12">
        <v>305</v>
      </c>
      <c r="G15" s="12">
        <v>5</v>
      </c>
      <c r="H15" s="15">
        <v>45</v>
      </c>
      <c r="I15" s="15">
        <v>22</v>
      </c>
      <c r="J15" s="15">
        <v>0</v>
      </c>
      <c r="K15" s="15">
        <f t="shared" si="0"/>
        <v>203</v>
      </c>
      <c r="L15" s="15">
        <f t="shared" si="1"/>
        <v>0</v>
      </c>
      <c r="M15" s="15">
        <f t="shared" si="2"/>
        <v>203</v>
      </c>
    </row>
    <row r="16" spans="1:13" ht="19" customHeight="1">
      <c r="A16" s="11" t="s">
        <v>158</v>
      </c>
      <c r="B16" s="10">
        <v>20260115</v>
      </c>
      <c r="C16" s="10">
        <v>1004</v>
      </c>
      <c r="D16" s="10">
        <v>203</v>
      </c>
      <c r="E16" s="10">
        <v>5</v>
      </c>
      <c r="F16" s="10">
        <v>305</v>
      </c>
      <c r="G16" s="10">
        <v>1</v>
      </c>
      <c r="H16" s="14">
        <v>399.99</v>
      </c>
      <c r="I16" s="14">
        <v>240</v>
      </c>
      <c r="J16" s="14">
        <v>10</v>
      </c>
      <c r="K16" s="14">
        <f t="shared" si="0"/>
        <v>159.99</v>
      </c>
      <c r="L16" s="14">
        <f t="shared" si="1"/>
        <v>10</v>
      </c>
      <c r="M16" s="14">
        <f t="shared" si="2"/>
        <v>149.99</v>
      </c>
    </row>
    <row r="17" spans="1:13" ht="19" customHeight="1">
      <c r="A17" s="13" t="s">
        <v>159</v>
      </c>
      <c r="B17" s="12">
        <v>20260116</v>
      </c>
      <c r="C17" s="12">
        <v>1006</v>
      </c>
      <c r="D17" s="12">
        <v>207</v>
      </c>
      <c r="E17" s="12">
        <v>1</v>
      </c>
      <c r="F17" s="12">
        <v>301</v>
      </c>
      <c r="G17" s="12">
        <v>2</v>
      </c>
      <c r="H17" s="15">
        <v>109.99</v>
      </c>
      <c r="I17" s="15">
        <v>60</v>
      </c>
      <c r="J17" s="15">
        <v>0</v>
      </c>
      <c r="K17" s="15">
        <f t="shared" si="0"/>
        <v>159.97999999999999</v>
      </c>
      <c r="L17" s="15">
        <f t="shared" si="1"/>
        <v>0</v>
      </c>
      <c r="M17" s="15">
        <f t="shared" si="2"/>
        <v>159.97999999999999</v>
      </c>
    </row>
    <row r="18" spans="1:13" ht="19" customHeight="1">
      <c r="A18" s="11" t="s">
        <v>160</v>
      </c>
      <c r="B18" s="10">
        <v>20260117</v>
      </c>
      <c r="C18" s="10">
        <v>1007</v>
      </c>
      <c r="D18" s="10">
        <v>208</v>
      </c>
      <c r="E18" s="10">
        <v>4</v>
      </c>
      <c r="F18" s="10">
        <v>304</v>
      </c>
      <c r="G18" s="10">
        <v>1</v>
      </c>
      <c r="H18" s="14">
        <v>149.99</v>
      </c>
      <c r="I18" s="14">
        <v>85</v>
      </c>
      <c r="J18" s="14">
        <v>0</v>
      </c>
      <c r="K18" s="14">
        <f t="shared" si="0"/>
        <v>64.990000000000009</v>
      </c>
      <c r="L18" s="14">
        <f t="shared" si="1"/>
        <v>0</v>
      </c>
      <c r="M18" s="14">
        <f t="shared" si="2"/>
        <v>64.990000000000009</v>
      </c>
    </row>
    <row r="19" spans="1:13" ht="19" customHeight="1">
      <c r="A19" s="13" t="s">
        <v>161</v>
      </c>
      <c r="B19" s="12">
        <v>20260118</v>
      </c>
      <c r="C19" s="12">
        <v>1008</v>
      </c>
      <c r="D19" s="12">
        <v>204</v>
      </c>
      <c r="E19" s="12">
        <v>5</v>
      </c>
      <c r="F19" s="12">
        <v>305</v>
      </c>
      <c r="G19" s="12">
        <v>3</v>
      </c>
      <c r="H19" s="15">
        <v>49.99</v>
      </c>
      <c r="I19" s="15">
        <v>25</v>
      </c>
      <c r="J19" s="15">
        <v>5</v>
      </c>
      <c r="K19" s="15">
        <f t="shared" si="0"/>
        <v>124.97</v>
      </c>
      <c r="L19" s="15">
        <f t="shared" si="1"/>
        <v>15</v>
      </c>
      <c r="M19" s="15">
        <f t="shared" si="2"/>
        <v>109.97</v>
      </c>
    </row>
    <row r="20" spans="1:13" ht="19" customHeight="1">
      <c r="A20" s="11" t="s">
        <v>162</v>
      </c>
      <c r="B20" s="10">
        <v>20260119</v>
      </c>
      <c r="C20" s="10">
        <v>1009</v>
      </c>
      <c r="D20" s="10">
        <v>206</v>
      </c>
      <c r="E20" s="10">
        <v>1</v>
      </c>
      <c r="F20" s="10">
        <v>301</v>
      </c>
      <c r="G20" s="10">
        <v>2</v>
      </c>
      <c r="H20" s="14">
        <v>89.99</v>
      </c>
      <c r="I20" s="14">
        <v>45</v>
      </c>
      <c r="J20" s="14">
        <v>0</v>
      </c>
      <c r="K20" s="14">
        <f t="shared" si="0"/>
        <v>134.97999999999999</v>
      </c>
      <c r="L20" s="14">
        <f t="shared" si="1"/>
        <v>0</v>
      </c>
      <c r="M20" s="14">
        <f t="shared" si="2"/>
        <v>134.97999999999999</v>
      </c>
    </row>
    <row r="21" spans="1:13" ht="19" customHeight="1">
      <c r="A21" s="13" t="s">
        <v>163</v>
      </c>
      <c r="B21" s="12">
        <v>20260120</v>
      </c>
      <c r="C21" s="12">
        <v>1010</v>
      </c>
      <c r="D21" s="12">
        <v>210</v>
      </c>
      <c r="E21" s="12">
        <v>3</v>
      </c>
      <c r="F21" s="12">
        <v>303</v>
      </c>
      <c r="G21" s="12">
        <v>1</v>
      </c>
      <c r="H21" s="15">
        <v>129.99</v>
      </c>
      <c r="I21" s="15">
        <v>75</v>
      </c>
      <c r="J21" s="15">
        <v>10</v>
      </c>
      <c r="K21" s="15">
        <f t="shared" si="0"/>
        <v>54.990000000000009</v>
      </c>
      <c r="L21" s="15">
        <f t="shared" si="1"/>
        <v>10</v>
      </c>
      <c r="M21" s="15">
        <f t="shared" si="2"/>
        <v>44.990000000000009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Dim_Customer</vt:lpstr>
      <vt:lpstr>Dim_Product</vt:lpstr>
      <vt:lpstr>Dim_Store</vt:lpstr>
      <vt:lpstr>Dim_Salesperson</vt:lpstr>
      <vt:lpstr>Dim_Date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Mintesnot Iwunete</cp:lastModifiedBy>
  <dcterms:created xsi:type="dcterms:W3CDTF">2026-06-11T16:48:21Z</dcterms:created>
  <dcterms:modified xsi:type="dcterms:W3CDTF">2026-06-11T18:06:06Z</dcterms:modified>
</cp:coreProperties>
</file>