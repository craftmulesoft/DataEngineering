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raft\Videos\Power BI\Data Set\Schemas\"/>
    </mc:Choice>
  </mc:AlternateContent>
  <xr:revisionPtr revIDLastSave="0" documentId="13_ncr:1_{855C48D7-ECB7-43A9-85AC-4CD11CC3FE6B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Overview" sheetId="1" r:id="rId1"/>
    <sheet name="SaaS_Sub_Metric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6" i="2" l="1"/>
  <c r="M15" i="2"/>
  <c r="N15" i="2" s="1"/>
  <c r="M14" i="2"/>
  <c r="N14" i="2" s="1"/>
  <c r="O14" i="2" s="1"/>
  <c r="M13" i="2"/>
  <c r="N13" i="2" s="1"/>
  <c r="O13" i="2" s="1"/>
  <c r="M12" i="2"/>
  <c r="M11" i="2"/>
  <c r="M10" i="2"/>
  <c r="N10" i="2" s="1"/>
  <c r="O10" i="2" s="1"/>
  <c r="M9" i="2"/>
  <c r="N9" i="2" s="1"/>
  <c r="O9" i="2" s="1"/>
  <c r="M8" i="2"/>
  <c r="M7" i="2"/>
  <c r="M6" i="2"/>
  <c r="N6" i="2" s="1"/>
  <c r="O6" i="2" s="1"/>
  <c r="M5" i="2"/>
  <c r="N5" i="2" s="1"/>
  <c r="O5" i="2" s="1"/>
  <c r="M4" i="2"/>
  <c r="M3" i="2"/>
  <c r="M2" i="2"/>
  <c r="N2" i="2" s="1"/>
  <c r="O2" i="2" l="1"/>
  <c r="O15" i="2"/>
  <c r="N4" i="2"/>
  <c r="O4" i="2" s="1"/>
  <c r="N8" i="2"/>
  <c r="O8" i="2" s="1"/>
  <c r="N12" i="2"/>
  <c r="O12" i="2" s="1"/>
  <c r="N16" i="2"/>
  <c r="O16" i="2" s="1"/>
  <c r="N3" i="2"/>
  <c r="O3" i="2" s="1"/>
  <c r="N7" i="2"/>
  <c r="O7" i="2" s="1"/>
  <c r="N11" i="2"/>
  <c r="O11" i="2" s="1"/>
</calcChain>
</file>

<file path=xl/sharedStrings.xml><?xml version="1.0" encoding="utf-8"?>
<sst xmlns="http://schemas.openxmlformats.org/spreadsheetml/2006/main" count="161" uniqueCount="88">
  <si>
    <t>Software-as-a-Service (SaaS) Flat Schema Model</t>
  </si>
  <si>
    <t>This workbook contains a Single, Wide, Fully Denormalized Table (Flat Schema) modeling SaaS Subscription metrics. There are NO relationships, NO joins, and NO complex structural keys. All dimension attributes are embedded directly on the transaction rows.</t>
  </si>
  <si>
    <t>Workbook Structure &amp; Flat Schema Architecture</t>
  </si>
  <si>
    <t>Tab Name</t>
  </si>
  <si>
    <t>Table Type</t>
  </si>
  <si>
    <t>Join Requirements</t>
  </si>
  <si>
    <t>Description</t>
  </si>
  <si>
    <t>SaaS_Sub_Metrics</t>
  </si>
  <si>
    <t>Flat / Denormalized Table</t>
  </si>
  <si>
    <t>None (Single Table Model)</t>
  </si>
  <si>
    <t>Combines billing history, subscription plans, user demographics, and financial tracking into one standalone sheet.</t>
  </si>
  <si>
    <t>InvoiceNumber</t>
  </si>
  <si>
    <t>InvoiceDate</t>
  </si>
  <si>
    <t>Quarter</t>
  </si>
  <si>
    <t>CustomerAccountID</t>
  </si>
  <si>
    <t>CompanyName</t>
  </si>
  <si>
    <t>CustomerSegment</t>
  </si>
  <si>
    <t>HQ_Country</t>
  </si>
  <si>
    <t>SubscriptionPlanName</t>
  </si>
  <si>
    <t>BillingFrequency</t>
  </si>
  <si>
    <t>ActiveLicenses</t>
  </si>
  <si>
    <t>LicenseUnitPrice</t>
  </si>
  <si>
    <t>AddOnFeaturesCharge</t>
  </si>
  <si>
    <t>GrossRevenue</t>
  </si>
  <si>
    <t>TaxAmount</t>
  </si>
  <si>
    <t>NetInvoiceTotal</t>
  </si>
  <si>
    <t>INV-9901</t>
  </si>
  <si>
    <t>2026-06-01</t>
  </si>
  <si>
    <t>Q2</t>
  </si>
  <si>
    <t>ACC-101</t>
  </si>
  <si>
    <t>CloudScale Inc</t>
  </si>
  <si>
    <t>Enterprise</t>
  </si>
  <si>
    <t>United States</t>
  </si>
  <si>
    <t>Enterprise Pro Plus</t>
  </si>
  <si>
    <t>Annual</t>
  </si>
  <si>
    <t>INV-9902</t>
  </si>
  <si>
    <t>2026-06-02</t>
  </si>
  <si>
    <t>ACC-102</t>
  </si>
  <si>
    <t>DevFlow Studios</t>
  </si>
  <si>
    <t>Mid-Market</t>
  </si>
  <si>
    <t>Canada</t>
  </si>
  <si>
    <t>Developer Sandbox Tier</t>
  </si>
  <si>
    <t>Monthly</t>
  </si>
  <si>
    <t>INV-9903</t>
  </si>
  <si>
    <t>2026-06-03</t>
  </si>
  <si>
    <t>ACC-103</t>
  </si>
  <si>
    <t>FinTech Global</t>
  </si>
  <si>
    <t>United Kingdom</t>
  </si>
  <si>
    <t>Business Growth Suite</t>
  </si>
  <si>
    <t>INV-9904</t>
  </si>
  <si>
    <t>2026-06-04</t>
  </si>
  <si>
    <t>INV-9905</t>
  </si>
  <si>
    <t>2026-06-05</t>
  </si>
  <si>
    <t>ACC-104</t>
  </si>
  <si>
    <t>BioHealth Systems</t>
  </si>
  <si>
    <t>Germany</t>
  </si>
  <si>
    <t>INV-9906</t>
  </si>
  <si>
    <t>2026-06-06</t>
  </si>
  <si>
    <t>ACC-105</t>
  </si>
  <si>
    <t>Apex Analytics</t>
  </si>
  <si>
    <t>SMB</t>
  </si>
  <si>
    <t>Starter Kickstart Plan</t>
  </si>
  <si>
    <t>INV-9907</t>
  </si>
  <si>
    <t>2026-06-07</t>
  </si>
  <si>
    <t>INV-9908</t>
  </si>
  <si>
    <t>2026-06-08</t>
  </si>
  <si>
    <t>ACC-106</t>
  </si>
  <si>
    <t>Quantum Labs</t>
  </si>
  <si>
    <t>Australia</t>
  </si>
  <si>
    <t>INV-9909</t>
  </si>
  <si>
    <t>2026-06-09</t>
  </si>
  <si>
    <t>INV-99010</t>
  </si>
  <si>
    <t>2026-06-10</t>
  </si>
  <si>
    <t>ACC-107</t>
  </si>
  <si>
    <t>Zetta Security</t>
  </si>
  <si>
    <t>Israel</t>
  </si>
  <si>
    <t>INV-99011</t>
  </si>
  <si>
    <t>2026-06-11</t>
  </si>
  <si>
    <t>INV-99012</t>
  </si>
  <si>
    <t>2026-06-12</t>
  </si>
  <si>
    <t>INV-99013</t>
  </si>
  <si>
    <t>2026-06-13</t>
  </si>
  <si>
    <t>INV-99014</t>
  </si>
  <si>
    <t>2026-06-14</t>
  </si>
  <si>
    <t>INV-99015</t>
  </si>
  <si>
    <t>2026-06-15</t>
  </si>
  <si>
    <t>ACC-108</t>
  </si>
  <si>
    <t>Vanguard Retail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</si>
</sst>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6">
    <font>
      <sz val="11"/>
      <color theme="1"/>
      <name val="Calibri"/>
      <family val="2"/>
      <scheme val="minor"/>
    </font>
    <font>
      <b/>
      <sz val="16"/>
      <color rgb="FF7F6000"/>
      <name val="Segoe UI"/>
    </font>
    <font>
      <sz val="10"/>
      <name val="Segoe UI"/>
    </font>
    <font>
      <b/>
      <sz val="12"/>
      <color rgb="FF2C3E50"/>
      <name val="Segoe UI"/>
    </font>
    <font>
      <b/>
      <sz val="11"/>
      <color rgb="FFFFFFFF"/>
      <name val="Segoe UI"/>
    </font>
    <font>
      <b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7F6000"/>
        <bgColor rgb="FF7F6000"/>
      </patternFill>
    </fill>
    <fill>
      <patternFill patternType="solid">
        <fgColor rgb="FFFAF8F0"/>
        <bgColor rgb="FFFAF8F0"/>
      </patternFill>
    </fill>
  </fills>
  <borders count="3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FFFFFF"/>
      </left>
      <right style="thin">
        <color rgb="FFFFFFFF"/>
      </right>
      <top style="medium">
        <color rgb="FF7F6000"/>
      </top>
      <bottom style="medium">
        <color rgb="FF7F6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/>
    </xf>
    <xf numFmtId="0" fontId="5" fillId="3" borderId="1" xfId="0" applyFont="1" applyFill="1" applyBorder="1"/>
    <xf numFmtId="0" fontId="2" fillId="3" borderId="1" xfId="0" applyFont="1" applyFill="1" applyBorder="1"/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right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164" fontId="2" fillId="3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/>
  </sheetViews>
  <sheetFormatPr defaultRowHeight="14.5"/>
  <sheetData>
    <row r="1" spans="1:4" ht="30" customHeight="1">
      <c r="A1" s="1" t="s">
        <v>0</v>
      </c>
    </row>
    <row r="3" spans="1:4" ht="16">
      <c r="A3" s="2" t="s">
        <v>1</v>
      </c>
    </row>
    <row r="5" spans="1:4" ht="17.5">
      <c r="A5" s="3" t="s">
        <v>2</v>
      </c>
    </row>
    <row r="6" spans="1:4" ht="22" customHeight="1">
      <c r="A6" s="4" t="s">
        <v>3</v>
      </c>
      <c r="B6" s="4" t="s">
        <v>4</v>
      </c>
      <c r="C6" s="4" t="s">
        <v>5</v>
      </c>
      <c r="D6" s="4" t="s">
        <v>6</v>
      </c>
    </row>
    <row r="7" spans="1:4" ht="20" customHeight="1">
      <c r="A7" s="5" t="s">
        <v>7</v>
      </c>
      <c r="B7" s="6" t="s">
        <v>8</v>
      </c>
      <c r="C7" s="6" t="s">
        <v>9</v>
      </c>
      <c r="D7" s="6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6"/>
  <sheetViews>
    <sheetView tabSelected="1" workbookViewId="0">
      <selection activeCell="A17" sqref="A17"/>
    </sheetView>
  </sheetViews>
  <sheetFormatPr defaultRowHeight="14.5"/>
  <cols>
    <col min="1" max="1" width="17" customWidth="1"/>
    <col min="2" max="2" width="15" customWidth="1"/>
    <col min="3" max="3" width="13" customWidth="1"/>
    <col min="4" max="5" width="21" customWidth="1"/>
    <col min="6" max="6" width="19" customWidth="1"/>
    <col min="7" max="7" width="18" customWidth="1"/>
    <col min="8" max="8" width="26" customWidth="1"/>
    <col min="9" max="9" width="20" customWidth="1"/>
    <col min="10" max="10" width="22" customWidth="1"/>
    <col min="11" max="11" width="20" customWidth="1"/>
    <col min="12" max="12" width="23" customWidth="1"/>
    <col min="13" max="15" width="22" customWidth="1"/>
  </cols>
  <sheetData>
    <row r="1" spans="1:15" ht="26" customHeight="1">
      <c r="A1" s="7" t="s">
        <v>11</v>
      </c>
      <c r="B1" s="7" t="s">
        <v>12</v>
      </c>
      <c r="C1" s="7" t="s">
        <v>13</v>
      </c>
      <c r="D1" s="7" t="s">
        <v>14</v>
      </c>
      <c r="E1" s="7" t="s">
        <v>15</v>
      </c>
      <c r="F1" s="7" t="s">
        <v>16</v>
      </c>
      <c r="G1" s="7" t="s">
        <v>17</v>
      </c>
      <c r="H1" s="7" t="s">
        <v>18</v>
      </c>
      <c r="I1" s="7" t="s">
        <v>19</v>
      </c>
      <c r="J1" s="7" t="s">
        <v>20</v>
      </c>
      <c r="K1" s="7" t="s">
        <v>21</v>
      </c>
      <c r="L1" s="7" t="s">
        <v>22</v>
      </c>
      <c r="M1" s="8" t="s">
        <v>23</v>
      </c>
      <c r="N1" s="8" t="s">
        <v>24</v>
      </c>
      <c r="O1" s="8" t="s">
        <v>25</v>
      </c>
    </row>
    <row r="2" spans="1:15" ht="19" customHeight="1">
      <c r="A2" s="9" t="s">
        <v>26</v>
      </c>
      <c r="B2" s="9" t="s">
        <v>27</v>
      </c>
      <c r="C2" s="9" t="s">
        <v>28</v>
      </c>
      <c r="D2" s="9" t="s">
        <v>29</v>
      </c>
      <c r="E2" s="10" t="s">
        <v>30</v>
      </c>
      <c r="F2" s="10" t="s">
        <v>31</v>
      </c>
      <c r="G2" s="10" t="s">
        <v>32</v>
      </c>
      <c r="H2" s="10" t="s">
        <v>33</v>
      </c>
      <c r="I2" s="9" t="s">
        <v>34</v>
      </c>
      <c r="J2" s="9">
        <v>150</v>
      </c>
      <c r="K2" s="11">
        <v>15</v>
      </c>
      <c r="L2" s="11">
        <v>250</v>
      </c>
      <c r="M2" s="11">
        <f t="shared" ref="M2:M16" si="0">(J2*K2)+L2</f>
        <v>2500</v>
      </c>
      <c r="N2" s="11">
        <f t="shared" ref="N2:N16" si="1">M2*0.08</f>
        <v>200</v>
      </c>
      <c r="O2" s="11">
        <f t="shared" ref="O2:O16" si="2">M2+N2</f>
        <v>2700</v>
      </c>
    </row>
    <row r="3" spans="1:15" ht="19" customHeight="1">
      <c r="A3" s="12" t="s">
        <v>35</v>
      </c>
      <c r="B3" s="12" t="s">
        <v>36</v>
      </c>
      <c r="C3" s="12" t="s">
        <v>28</v>
      </c>
      <c r="D3" s="12" t="s">
        <v>37</v>
      </c>
      <c r="E3" s="13" t="s">
        <v>38</v>
      </c>
      <c r="F3" s="13" t="s">
        <v>39</v>
      </c>
      <c r="G3" s="13" t="s">
        <v>40</v>
      </c>
      <c r="H3" s="13" t="s">
        <v>41</v>
      </c>
      <c r="I3" s="12" t="s">
        <v>42</v>
      </c>
      <c r="J3" s="12">
        <v>12</v>
      </c>
      <c r="K3" s="14">
        <v>8.5</v>
      </c>
      <c r="L3" s="14">
        <v>0</v>
      </c>
      <c r="M3" s="14">
        <f t="shared" si="0"/>
        <v>102</v>
      </c>
      <c r="N3" s="14">
        <f t="shared" si="1"/>
        <v>8.16</v>
      </c>
      <c r="O3" s="14">
        <f t="shared" si="2"/>
        <v>110.16</v>
      </c>
    </row>
    <row r="4" spans="1:15" ht="19" customHeight="1">
      <c r="A4" s="9" t="s">
        <v>43</v>
      </c>
      <c r="B4" s="9" t="s">
        <v>44</v>
      </c>
      <c r="C4" s="9" t="s">
        <v>28</v>
      </c>
      <c r="D4" s="9" t="s">
        <v>45</v>
      </c>
      <c r="E4" s="10" t="s">
        <v>46</v>
      </c>
      <c r="F4" s="10" t="s">
        <v>31</v>
      </c>
      <c r="G4" s="10" t="s">
        <v>47</v>
      </c>
      <c r="H4" s="10" t="s">
        <v>48</v>
      </c>
      <c r="I4" s="9" t="s">
        <v>42</v>
      </c>
      <c r="J4" s="9">
        <v>45</v>
      </c>
      <c r="K4" s="11">
        <v>12</v>
      </c>
      <c r="L4" s="11">
        <v>50</v>
      </c>
      <c r="M4" s="11">
        <f t="shared" si="0"/>
        <v>590</v>
      </c>
      <c r="N4" s="11">
        <f t="shared" si="1"/>
        <v>47.2</v>
      </c>
      <c r="O4" s="11">
        <f t="shared" si="2"/>
        <v>637.20000000000005</v>
      </c>
    </row>
    <row r="5" spans="1:15" ht="19" customHeight="1">
      <c r="A5" s="12" t="s">
        <v>49</v>
      </c>
      <c r="B5" s="12" t="s">
        <v>50</v>
      </c>
      <c r="C5" s="12" t="s">
        <v>28</v>
      </c>
      <c r="D5" s="12" t="s">
        <v>29</v>
      </c>
      <c r="E5" s="13" t="s">
        <v>30</v>
      </c>
      <c r="F5" s="13" t="s">
        <v>31</v>
      </c>
      <c r="G5" s="13" t="s">
        <v>32</v>
      </c>
      <c r="H5" s="13" t="s">
        <v>33</v>
      </c>
      <c r="I5" s="12" t="s">
        <v>34</v>
      </c>
      <c r="J5" s="12">
        <v>150</v>
      </c>
      <c r="K5" s="14">
        <v>15</v>
      </c>
      <c r="L5" s="14">
        <v>250</v>
      </c>
      <c r="M5" s="14">
        <f t="shared" si="0"/>
        <v>2500</v>
      </c>
      <c r="N5" s="14">
        <f t="shared" si="1"/>
        <v>200</v>
      </c>
      <c r="O5" s="14">
        <f t="shared" si="2"/>
        <v>2700</v>
      </c>
    </row>
    <row r="6" spans="1:15" ht="19" customHeight="1">
      <c r="A6" s="9" t="s">
        <v>51</v>
      </c>
      <c r="B6" s="9" t="s">
        <v>52</v>
      </c>
      <c r="C6" s="9" t="s">
        <v>28</v>
      </c>
      <c r="D6" s="9" t="s">
        <v>53</v>
      </c>
      <c r="E6" s="10" t="s">
        <v>54</v>
      </c>
      <c r="F6" s="10" t="s">
        <v>39</v>
      </c>
      <c r="G6" s="10" t="s">
        <v>55</v>
      </c>
      <c r="H6" s="10" t="s">
        <v>48</v>
      </c>
      <c r="I6" s="9" t="s">
        <v>42</v>
      </c>
      <c r="J6" s="9">
        <v>35</v>
      </c>
      <c r="K6" s="11">
        <v>12</v>
      </c>
      <c r="L6" s="11">
        <v>75</v>
      </c>
      <c r="M6" s="11">
        <f t="shared" si="0"/>
        <v>495</v>
      </c>
      <c r="N6" s="11">
        <f t="shared" si="1"/>
        <v>39.6</v>
      </c>
      <c r="O6" s="11">
        <f t="shared" si="2"/>
        <v>534.6</v>
      </c>
    </row>
    <row r="7" spans="1:15" ht="19" customHeight="1">
      <c r="A7" s="12" t="s">
        <v>56</v>
      </c>
      <c r="B7" s="12" t="s">
        <v>57</v>
      </c>
      <c r="C7" s="12" t="s">
        <v>28</v>
      </c>
      <c r="D7" s="12" t="s">
        <v>58</v>
      </c>
      <c r="E7" s="13" t="s">
        <v>59</v>
      </c>
      <c r="F7" s="13" t="s">
        <v>60</v>
      </c>
      <c r="G7" s="13" t="s">
        <v>32</v>
      </c>
      <c r="H7" s="13" t="s">
        <v>61</v>
      </c>
      <c r="I7" s="12" t="s">
        <v>42</v>
      </c>
      <c r="J7" s="12">
        <v>4</v>
      </c>
      <c r="K7" s="14">
        <v>5</v>
      </c>
      <c r="L7" s="14">
        <v>10</v>
      </c>
      <c r="M7" s="14">
        <f t="shared" si="0"/>
        <v>30</v>
      </c>
      <c r="N7" s="14">
        <f t="shared" si="1"/>
        <v>2.4</v>
      </c>
      <c r="O7" s="14">
        <f t="shared" si="2"/>
        <v>32.4</v>
      </c>
    </row>
    <row r="8" spans="1:15" ht="19" customHeight="1">
      <c r="A8" s="9" t="s">
        <v>62</v>
      </c>
      <c r="B8" s="9" t="s">
        <v>63</v>
      </c>
      <c r="C8" s="9" t="s">
        <v>28</v>
      </c>
      <c r="D8" s="9" t="s">
        <v>37</v>
      </c>
      <c r="E8" s="10" t="s">
        <v>38</v>
      </c>
      <c r="F8" s="10" t="s">
        <v>39</v>
      </c>
      <c r="G8" s="10" t="s">
        <v>40</v>
      </c>
      <c r="H8" s="10" t="s">
        <v>41</v>
      </c>
      <c r="I8" s="9" t="s">
        <v>42</v>
      </c>
      <c r="J8" s="9">
        <v>15</v>
      </c>
      <c r="K8" s="11">
        <v>8.5</v>
      </c>
      <c r="L8" s="11">
        <v>0</v>
      </c>
      <c r="M8" s="11">
        <f t="shared" si="0"/>
        <v>127.5</v>
      </c>
      <c r="N8" s="11">
        <f t="shared" si="1"/>
        <v>10.200000000000001</v>
      </c>
      <c r="O8" s="11">
        <f t="shared" si="2"/>
        <v>137.69999999999999</v>
      </c>
    </row>
    <row r="9" spans="1:15" ht="19" customHeight="1">
      <c r="A9" s="12" t="s">
        <v>64</v>
      </c>
      <c r="B9" s="12" t="s">
        <v>65</v>
      </c>
      <c r="C9" s="12" t="s">
        <v>28</v>
      </c>
      <c r="D9" s="12" t="s">
        <v>66</v>
      </c>
      <c r="E9" s="13" t="s">
        <v>67</v>
      </c>
      <c r="F9" s="13" t="s">
        <v>31</v>
      </c>
      <c r="G9" s="13" t="s">
        <v>68</v>
      </c>
      <c r="H9" s="13" t="s">
        <v>33</v>
      </c>
      <c r="I9" s="12" t="s">
        <v>34</v>
      </c>
      <c r="J9" s="12">
        <v>220</v>
      </c>
      <c r="K9" s="14">
        <v>14</v>
      </c>
      <c r="L9" s="14">
        <v>450</v>
      </c>
      <c r="M9" s="14">
        <f t="shared" si="0"/>
        <v>3530</v>
      </c>
      <c r="N9" s="14">
        <f t="shared" si="1"/>
        <v>282.40000000000003</v>
      </c>
      <c r="O9" s="14">
        <f t="shared" si="2"/>
        <v>3812.4</v>
      </c>
    </row>
    <row r="10" spans="1:15" ht="19" customHeight="1">
      <c r="A10" s="9" t="s">
        <v>69</v>
      </c>
      <c r="B10" s="9" t="s">
        <v>70</v>
      </c>
      <c r="C10" s="9" t="s">
        <v>28</v>
      </c>
      <c r="D10" s="9" t="s">
        <v>45</v>
      </c>
      <c r="E10" s="10" t="s">
        <v>46</v>
      </c>
      <c r="F10" s="10" t="s">
        <v>31</v>
      </c>
      <c r="G10" s="10" t="s">
        <v>47</v>
      </c>
      <c r="H10" s="10" t="s">
        <v>48</v>
      </c>
      <c r="I10" s="9" t="s">
        <v>42</v>
      </c>
      <c r="J10" s="9">
        <v>45</v>
      </c>
      <c r="K10" s="11">
        <v>12</v>
      </c>
      <c r="L10" s="11">
        <v>50</v>
      </c>
      <c r="M10" s="11">
        <f t="shared" si="0"/>
        <v>590</v>
      </c>
      <c r="N10" s="11">
        <f t="shared" si="1"/>
        <v>47.2</v>
      </c>
      <c r="O10" s="11">
        <f t="shared" si="2"/>
        <v>637.20000000000005</v>
      </c>
    </row>
    <row r="11" spans="1:15" ht="19" customHeight="1">
      <c r="A11" s="12" t="s">
        <v>71</v>
      </c>
      <c r="B11" s="12" t="s">
        <v>72</v>
      </c>
      <c r="C11" s="12" t="s">
        <v>28</v>
      </c>
      <c r="D11" s="12" t="s">
        <v>73</v>
      </c>
      <c r="E11" s="13" t="s">
        <v>74</v>
      </c>
      <c r="F11" s="13" t="s">
        <v>60</v>
      </c>
      <c r="G11" s="13" t="s">
        <v>75</v>
      </c>
      <c r="H11" s="13" t="s">
        <v>61</v>
      </c>
      <c r="I11" s="12" t="s">
        <v>42</v>
      </c>
      <c r="J11" s="12">
        <v>8</v>
      </c>
      <c r="K11" s="14">
        <v>5</v>
      </c>
      <c r="L11" s="14">
        <v>15</v>
      </c>
      <c r="M11" s="14">
        <f t="shared" si="0"/>
        <v>55</v>
      </c>
      <c r="N11" s="14">
        <f t="shared" si="1"/>
        <v>4.4000000000000004</v>
      </c>
      <c r="O11" s="14">
        <f t="shared" si="2"/>
        <v>59.4</v>
      </c>
    </row>
    <row r="12" spans="1:15" ht="19" customHeight="1">
      <c r="A12" s="9" t="s">
        <v>76</v>
      </c>
      <c r="B12" s="9" t="s">
        <v>77</v>
      </c>
      <c r="C12" s="9" t="s">
        <v>28</v>
      </c>
      <c r="D12" s="9" t="s">
        <v>53</v>
      </c>
      <c r="E12" s="10" t="s">
        <v>54</v>
      </c>
      <c r="F12" s="10" t="s">
        <v>39</v>
      </c>
      <c r="G12" s="10" t="s">
        <v>55</v>
      </c>
      <c r="H12" s="10" t="s">
        <v>48</v>
      </c>
      <c r="I12" s="9" t="s">
        <v>42</v>
      </c>
      <c r="J12" s="9">
        <v>38</v>
      </c>
      <c r="K12" s="11">
        <v>12</v>
      </c>
      <c r="L12" s="11">
        <v>75</v>
      </c>
      <c r="M12" s="11">
        <f t="shared" si="0"/>
        <v>531</v>
      </c>
      <c r="N12" s="11">
        <f t="shared" si="1"/>
        <v>42.480000000000004</v>
      </c>
      <c r="O12" s="11">
        <f t="shared" si="2"/>
        <v>573.48</v>
      </c>
    </row>
    <row r="13" spans="1:15" ht="19" customHeight="1">
      <c r="A13" s="12" t="s">
        <v>78</v>
      </c>
      <c r="B13" s="12" t="s">
        <v>79</v>
      </c>
      <c r="C13" s="12" t="s">
        <v>28</v>
      </c>
      <c r="D13" s="12" t="s">
        <v>58</v>
      </c>
      <c r="E13" s="13" t="s">
        <v>59</v>
      </c>
      <c r="F13" s="13" t="s">
        <v>60</v>
      </c>
      <c r="G13" s="13" t="s">
        <v>32</v>
      </c>
      <c r="H13" s="13" t="s">
        <v>61</v>
      </c>
      <c r="I13" s="12" t="s">
        <v>42</v>
      </c>
      <c r="J13" s="12">
        <v>5</v>
      </c>
      <c r="K13" s="14">
        <v>5</v>
      </c>
      <c r="L13" s="14">
        <v>10</v>
      </c>
      <c r="M13" s="14">
        <f t="shared" si="0"/>
        <v>35</v>
      </c>
      <c r="N13" s="14">
        <f t="shared" si="1"/>
        <v>2.8000000000000003</v>
      </c>
      <c r="O13" s="14">
        <f t="shared" si="2"/>
        <v>37.799999999999997</v>
      </c>
    </row>
    <row r="14" spans="1:15" ht="19" customHeight="1">
      <c r="A14" s="9" t="s">
        <v>80</v>
      </c>
      <c r="B14" s="9" t="s">
        <v>81</v>
      </c>
      <c r="C14" s="9" t="s">
        <v>28</v>
      </c>
      <c r="D14" s="9" t="s">
        <v>29</v>
      </c>
      <c r="E14" s="10" t="s">
        <v>30</v>
      </c>
      <c r="F14" s="10" t="s">
        <v>31</v>
      </c>
      <c r="G14" s="10" t="s">
        <v>32</v>
      </c>
      <c r="H14" s="10" t="s">
        <v>33</v>
      </c>
      <c r="I14" s="9" t="s">
        <v>34</v>
      </c>
      <c r="J14" s="9">
        <v>155</v>
      </c>
      <c r="K14" s="11">
        <v>15</v>
      </c>
      <c r="L14" s="11">
        <v>300</v>
      </c>
      <c r="M14" s="11">
        <f t="shared" si="0"/>
        <v>2625</v>
      </c>
      <c r="N14" s="11">
        <f t="shared" si="1"/>
        <v>210</v>
      </c>
      <c r="O14" s="11">
        <f t="shared" si="2"/>
        <v>2835</v>
      </c>
    </row>
    <row r="15" spans="1:15" ht="19" customHeight="1">
      <c r="A15" s="12" t="s">
        <v>82</v>
      </c>
      <c r="B15" s="12" t="s">
        <v>83</v>
      </c>
      <c r="C15" s="12" t="s">
        <v>28</v>
      </c>
      <c r="D15" s="12" t="s">
        <v>66</v>
      </c>
      <c r="E15" s="13" t="s">
        <v>67</v>
      </c>
      <c r="F15" s="13" t="s">
        <v>31</v>
      </c>
      <c r="G15" s="13" t="s">
        <v>68</v>
      </c>
      <c r="H15" s="13" t="s">
        <v>33</v>
      </c>
      <c r="I15" s="12" t="s">
        <v>34</v>
      </c>
      <c r="J15" s="12">
        <v>220</v>
      </c>
      <c r="K15" s="14">
        <v>14</v>
      </c>
      <c r="L15" s="14">
        <v>450</v>
      </c>
      <c r="M15" s="14">
        <f t="shared" si="0"/>
        <v>3530</v>
      </c>
      <c r="N15" s="14">
        <f t="shared" si="1"/>
        <v>282.40000000000003</v>
      </c>
      <c r="O15" s="14">
        <f t="shared" si="2"/>
        <v>3812.4</v>
      </c>
    </row>
    <row r="16" spans="1:15" ht="19" customHeight="1">
      <c r="A16" s="9" t="s">
        <v>84</v>
      </c>
      <c r="B16" s="9" t="s">
        <v>85</v>
      </c>
      <c r="C16" s="9" t="s">
        <v>28</v>
      </c>
      <c r="D16" s="9" t="s">
        <v>86</v>
      </c>
      <c r="E16" s="10" t="s">
        <v>87</v>
      </c>
      <c r="F16" s="10" t="s">
        <v>39</v>
      </c>
      <c r="G16" s="10" t="s">
        <v>32</v>
      </c>
      <c r="H16" s="10" t="s">
        <v>41</v>
      </c>
      <c r="I16" s="9" t="s">
        <v>42</v>
      </c>
      <c r="J16" s="9">
        <v>25</v>
      </c>
      <c r="K16" s="11">
        <v>8.5</v>
      </c>
      <c r="L16" s="11">
        <v>0</v>
      </c>
      <c r="M16" s="11">
        <f t="shared" si="0"/>
        <v>212.5</v>
      </c>
      <c r="N16" s="11">
        <f t="shared" si="1"/>
        <v>17</v>
      </c>
      <c r="O16" s="11">
        <f t="shared" si="2"/>
        <v>229.5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SaaS_Sub_Metrics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Mintesnot Iwunete</cp:lastModifiedBy>
  <dcterms:created xsi:type="dcterms:W3CDTF">2026-06-11T17:45:57Z</dcterms:created>
  <dcterms:modified xsi:type="dcterms:W3CDTF">2026-06-11T18:07:40Z</dcterms:modified>
</cp:coreProperties>
</file>