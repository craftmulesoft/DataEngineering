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aft\Videos\Power BI\Data Set\Schemas\"/>
    </mc:Choice>
  </mc:AlternateContent>
  <xr:revisionPtr revIDLastSave="0" documentId="13_ncr:1_{043B8119-4248-4BF2-8B48-5124885D0EDE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Overview" sheetId="1" r:id="rId1"/>
    <sheet name="Dim_Geography" sheetId="2" r:id="rId2"/>
    <sheet name="Dim_Supplier" sheetId="3" r:id="rId3"/>
    <sheet name="Dim_Category" sheetId="4" r:id="rId4"/>
    <sheet name="Dim_Subcategory" sheetId="5" r:id="rId5"/>
    <sheet name="Dim_Product" sheetId="6" r:id="rId6"/>
    <sheet name="Dim_Date" sheetId="7" r:id="rId7"/>
    <sheet name="Fact_Purchase_Order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8" l="1"/>
  <c r="I16" i="8"/>
  <c r="J16" i="8" s="1"/>
  <c r="K15" i="8"/>
  <c r="I15" i="8"/>
  <c r="J15" i="8" s="1"/>
  <c r="K14" i="8"/>
  <c r="I14" i="8"/>
  <c r="J14" i="8" s="1"/>
  <c r="K13" i="8"/>
  <c r="I13" i="8"/>
  <c r="J13" i="8" s="1"/>
  <c r="K12" i="8"/>
  <c r="I12" i="8"/>
  <c r="J12" i="8" s="1"/>
  <c r="K11" i="8"/>
  <c r="I11" i="8"/>
  <c r="J11" i="8" s="1"/>
  <c r="K10" i="8"/>
  <c r="I10" i="8"/>
  <c r="J10" i="8" s="1"/>
  <c r="K9" i="8"/>
  <c r="I9" i="8"/>
  <c r="J9" i="8" s="1"/>
  <c r="K8" i="8"/>
  <c r="I8" i="8"/>
  <c r="J8" i="8" s="1"/>
  <c r="K7" i="8"/>
  <c r="I7" i="8"/>
  <c r="J7" i="8" s="1"/>
  <c r="K6" i="8"/>
  <c r="I6" i="8"/>
  <c r="J6" i="8" s="1"/>
  <c r="K5" i="8"/>
  <c r="I5" i="8"/>
  <c r="J5" i="8" s="1"/>
  <c r="K4" i="8"/>
  <c r="I4" i="8"/>
  <c r="J4" i="8" s="1"/>
  <c r="K3" i="8"/>
  <c r="I3" i="8"/>
  <c r="J3" i="8" s="1"/>
  <c r="K2" i="8"/>
  <c r="I2" i="8"/>
  <c r="J2" i="8" s="1"/>
</calcChain>
</file>

<file path=xl/sharedStrings.xml><?xml version="1.0" encoding="utf-8"?>
<sst xmlns="http://schemas.openxmlformats.org/spreadsheetml/2006/main" count="179" uniqueCount="125">
  <si>
    <t>Supply Chain &amp; Procurement Snowflake Schema Model</t>
  </si>
  <si>
    <t>This workbook contains a normalized Snowflake Schema modeling Supply Chain Procurement transactions. Unlike a Star Schema, dimension tables are normalized into sub-dimensions (e.g., Product points to Subcategory, which points to Category).</t>
  </si>
  <si>
    <t>Workbook Structure &amp; Snowflake Architecture</t>
  </si>
  <si>
    <t>Tab Name</t>
  </si>
  <si>
    <t>Table Type</t>
  </si>
  <si>
    <t>Normalized Parent / Link</t>
  </si>
  <si>
    <t>Description</t>
  </si>
  <si>
    <t>Fact_Purchase_Orders</t>
  </si>
  <si>
    <t>Fact Table</t>
  </si>
  <si>
    <t>Central Transaction Table</t>
  </si>
  <si>
    <t>Records procurement quantities, unit costs, and supplier metrics.</t>
  </si>
  <si>
    <t>Dim_Product</t>
  </si>
  <si>
    <t>Primary Dimension</t>
  </si>
  <si>
    <t>Links to Dim_Subcategory</t>
  </si>
  <si>
    <t>Details granular item SKUs used in procurement.</t>
  </si>
  <si>
    <t>Dim_Subcategory</t>
  </si>
  <si>
    <t>Sub-Dimension</t>
  </si>
  <si>
    <t>Links to Dim_Category</t>
  </si>
  <si>
    <t>Intermediate product hierarchy normalization.</t>
  </si>
  <si>
    <t>Dim_Category</t>
  </si>
  <si>
    <t>Top Hierarchy</t>
  </si>
  <si>
    <t>Top-level macro product groupings.</t>
  </si>
  <si>
    <t>Dim_Supplier</t>
  </si>
  <si>
    <t>Links to Dim_Geography</t>
  </si>
  <si>
    <t>Identifies vendors, payment terms, and risk scores.</t>
  </si>
  <si>
    <t>Dim_Geography</t>
  </si>
  <si>
    <t>Shared geographic lookup for regions, countries, and cities.</t>
  </si>
  <si>
    <t>Dim_Date</t>
  </si>
  <si>
    <t>Continuous Calendar</t>
  </si>
  <si>
    <t>Enables procurement time-intelligence analysis.</t>
  </si>
  <si>
    <t>GeographyKey</t>
  </si>
  <si>
    <t>City</t>
  </si>
  <si>
    <t>Country</t>
  </si>
  <si>
    <t>GlobalRegion</t>
  </si>
  <si>
    <t>Munich</t>
  </si>
  <si>
    <t>Germany</t>
  </si>
  <si>
    <t>EMEA</t>
  </si>
  <si>
    <t>Tokyo</t>
  </si>
  <si>
    <t>Japan</t>
  </si>
  <si>
    <t>APAC</t>
  </si>
  <si>
    <t>San Francisco</t>
  </si>
  <si>
    <t>United States</t>
  </si>
  <si>
    <t>AMER</t>
  </si>
  <si>
    <t>Shanghai</t>
  </si>
  <si>
    <t>China</t>
  </si>
  <si>
    <t>Taipei</t>
  </si>
  <si>
    <t>Taiwan</t>
  </si>
  <si>
    <t>SupplierKey</t>
  </si>
  <si>
    <t>SupplierName</t>
  </si>
  <si>
    <t>PaymentTerms</t>
  </si>
  <si>
    <t>SupplierRiskRating</t>
  </si>
  <si>
    <t>Continental Logistics &amp; Parts</t>
  </si>
  <si>
    <t>Net 30</t>
  </si>
  <si>
    <t>Low</t>
  </si>
  <si>
    <t>Nippon Semiconductor Corp</t>
  </si>
  <si>
    <t>Net 60</t>
  </si>
  <si>
    <t>Medium</t>
  </si>
  <si>
    <t>Pacific Freight &amp; Goods</t>
  </si>
  <si>
    <t>Net 15</t>
  </si>
  <si>
    <t>SinoTech Industrial Ltd</t>
  </si>
  <si>
    <t>Net 45</t>
  </si>
  <si>
    <t>High</t>
  </si>
  <si>
    <t>Formosa Microcircuits</t>
  </si>
  <si>
    <t>CategoryKey</t>
  </si>
  <si>
    <t>CategoryName</t>
  </si>
  <si>
    <t>Raw Materials</t>
  </si>
  <si>
    <t>Electronic Components</t>
  </si>
  <si>
    <t>Packaging &amp; Safety Equipment</t>
  </si>
  <si>
    <t>SubcategoryKey</t>
  </si>
  <si>
    <t>SubcategoryName</t>
  </si>
  <si>
    <t>Industrial Alloys</t>
  </si>
  <si>
    <t>Polymers &amp; Plastics</t>
  </si>
  <si>
    <t>Integrated Circuits</t>
  </si>
  <si>
    <t>Sensors &amp; Displays</t>
  </si>
  <si>
    <t>Industrial Wraps</t>
  </si>
  <si>
    <t>ProductKey</t>
  </si>
  <si>
    <t>ProductName</t>
  </si>
  <si>
    <t>SKU</t>
  </si>
  <si>
    <t>LeadTimeDays</t>
  </si>
  <si>
    <t>Grade-A Titanium Ingot</t>
  </si>
  <si>
    <t>TI-GR-A01</t>
  </si>
  <si>
    <t>High-Density Polyethylene Pellet</t>
  </si>
  <si>
    <t>PE-HD-PL05</t>
  </si>
  <si>
    <t>ARM Cortex-M4 Microcontroller</t>
  </si>
  <si>
    <t>MC-ARM-M4X</t>
  </si>
  <si>
    <t>Optoelectronic Proximity Sensor</t>
  </si>
  <si>
    <t>SN-OPT-PRX</t>
  </si>
  <si>
    <t>Heavy Duty Shrink Film (Roll)</t>
  </si>
  <si>
    <t>PK-SF-HD99</t>
  </si>
  <si>
    <t>Structural Aluminum Extrusion</t>
  </si>
  <si>
    <t>AL-ST-EXT0</t>
  </si>
  <si>
    <t>CMOS Image Sensor Matrix</t>
  </si>
  <si>
    <t>SN-CMOS-IM</t>
  </si>
  <si>
    <t>Biodegradable Bubble Padding</t>
  </si>
  <si>
    <t>PK-BB-BIO4</t>
  </si>
  <si>
    <t>DateKey</t>
  </si>
  <si>
    <t>CalendarDate</t>
  </si>
  <si>
    <t>FiscalYear</t>
  </si>
  <si>
    <t>FiscalQuarter</t>
  </si>
  <si>
    <t>MonthName</t>
  </si>
  <si>
    <t>FQ3</t>
  </si>
  <si>
    <t>March</t>
  </si>
  <si>
    <t>PurchaseOrderLineID</t>
  </si>
  <si>
    <t>OrderQuantity</t>
  </si>
  <si>
    <t>ContractedUnitCost</t>
  </si>
  <si>
    <t>FreightCost</t>
  </si>
  <si>
    <t>DefectsCount</t>
  </si>
  <si>
    <t>GrossSpend</t>
  </si>
  <si>
    <t>TotalSpend</t>
  </si>
  <si>
    <t>DefectRate</t>
  </si>
  <si>
    <t>PO-2026-LN01</t>
  </si>
  <si>
    <t>PO-2026-LN02</t>
  </si>
  <si>
    <t>PO-2026-LN03</t>
  </si>
  <si>
    <t>PO-2026-LN04</t>
  </si>
  <si>
    <t>PO-2026-LN05</t>
  </si>
  <si>
    <t>PO-2026-LN06</t>
  </si>
  <si>
    <t>PO-2026-LN07</t>
  </si>
  <si>
    <t>PO-2026-LN08</t>
  </si>
  <si>
    <t>PO-2026-LN09</t>
  </si>
  <si>
    <t>PO-2026-LN10</t>
  </si>
  <si>
    <t>PO-2026-LN11</t>
  </si>
  <si>
    <t>PO-2026-LN12</t>
  </si>
  <si>
    <t>PO-2026-LN13</t>
  </si>
  <si>
    <t>PO-2026-LN14</t>
  </si>
  <si>
    <t>PO-2026-LN15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</si>
</sst>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\$#,##0.00"/>
  </numFmts>
  <fonts count="6">
    <font>
      <sz val="11"/>
      <color theme="1"/>
      <name val="Calibri"/>
      <family val="2"/>
      <scheme val="minor"/>
    </font>
    <font>
      <b/>
      <sz val="16"/>
      <color rgb="FF1E4A38"/>
      <name val="Segoe UI"/>
    </font>
    <font>
      <sz val="10"/>
      <name val="Segoe UI"/>
    </font>
    <font>
      <b/>
      <sz val="12"/>
      <color rgb="FF2C3E50"/>
      <name val="Segoe UI"/>
    </font>
    <font>
      <b/>
      <sz val="11"/>
      <color rgb="FFFFFFFF"/>
      <name val="Segoe UI"/>
    </font>
    <font>
      <b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4A38"/>
        <bgColor rgb="FF1E4A38"/>
      </patternFill>
    </fill>
    <fill>
      <patternFill patternType="solid">
        <fgColor rgb="FFF4F7F5"/>
        <bgColor rgb="FFF4F7F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medium">
        <color rgb="FF1E4A38"/>
      </top>
      <bottom style="medium">
        <color rgb="FF1E4A3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/>
    <xf numFmtId="0" fontId="2" fillId="3" borderId="1" xfId="0" applyFont="1" applyFill="1" applyBorder="1"/>
    <xf numFmtId="0" fontId="5" fillId="0" borderId="1" xfId="0" applyFont="1" applyBorder="1"/>
    <xf numFmtId="0" fontId="2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center"/>
    </xf>
    <xf numFmtId="166" fontId="2" fillId="3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/>
  </sheetViews>
  <sheetFormatPr defaultRowHeight="14.5"/>
  <sheetData>
    <row r="1" spans="1:4" ht="30" customHeight="1">
      <c r="A1" s="1" t="s">
        <v>0</v>
      </c>
    </row>
    <row r="3" spans="1:4" ht="16">
      <c r="A3" s="2" t="s">
        <v>1</v>
      </c>
    </row>
    <row r="5" spans="1:4" ht="17.5">
      <c r="A5" s="3" t="s">
        <v>2</v>
      </c>
    </row>
    <row r="6" spans="1:4" ht="22" customHeight="1">
      <c r="A6" s="4" t="s">
        <v>3</v>
      </c>
      <c r="B6" s="4" t="s">
        <v>4</v>
      </c>
      <c r="C6" s="4" t="s">
        <v>5</v>
      </c>
      <c r="D6" s="4" t="s">
        <v>6</v>
      </c>
    </row>
    <row r="7" spans="1:4" ht="20" customHeight="1">
      <c r="A7" s="5" t="s">
        <v>7</v>
      </c>
      <c r="B7" s="6" t="s">
        <v>8</v>
      </c>
      <c r="C7" s="6" t="s">
        <v>9</v>
      </c>
      <c r="D7" s="6" t="s">
        <v>10</v>
      </c>
    </row>
    <row r="8" spans="1:4" ht="20" customHeight="1">
      <c r="A8" s="7" t="s">
        <v>11</v>
      </c>
      <c r="B8" s="8" t="s">
        <v>12</v>
      </c>
      <c r="C8" s="8" t="s">
        <v>13</v>
      </c>
      <c r="D8" s="8" t="s">
        <v>14</v>
      </c>
    </row>
    <row r="9" spans="1:4" ht="20" customHeight="1">
      <c r="A9" s="5" t="s">
        <v>15</v>
      </c>
      <c r="B9" s="6" t="s">
        <v>16</v>
      </c>
      <c r="C9" s="6" t="s">
        <v>17</v>
      </c>
      <c r="D9" s="6" t="s">
        <v>18</v>
      </c>
    </row>
    <row r="10" spans="1:4" ht="20" customHeight="1">
      <c r="A10" s="7" t="s">
        <v>19</v>
      </c>
      <c r="B10" s="8" t="s">
        <v>16</v>
      </c>
      <c r="C10" s="8" t="s">
        <v>20</v>
      </c>
      <c r="D10" s="8" t="s">
        <v>21</v>
      </c>
    </row>
    <row r="11" spans="1:4" ht="20" customHeight="1">
      <c r="A11" s="5" t="s">
        <v>22</v>
      </c>
      <c r="B11" s="6" t="s">
        <v>12</v>
      </c>
      <c r="C11" s="6" t="s">
        <v>23</v>
      </c>
      <c r="D11" s="6" t="s">
        <v>24</v>
      </c>
    </row>
    <row r="12" spans="1:4" ht="20" customHeight="1">
      <c r="A12" s="7" t="s">
        <v>25</v>
      </c>
      <c r="B12" s="8" t="s">
        <v>16</v>
      </c>
      <c r="C12" s="8" t="s">
        <v>20</v>
      </c>
      <c r="D12" s="8" t="s">
        <v>26</v>
      </c>
    </row>
    <row r="13" spans="1:4" ht="20" customHeight="1">
      <c r="A13" s="5" t="s">
        <v>27</v>
      </c>
      <c r="B13" s="6" t="s">
        <v>12</v>
      </c>
      <c r="C13" s="6" t="s">
        <v>28</v>
      </c>
      <c r="D13" s="6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/>
  <cols>
    <col min="1" max="1" width="16" customWidth="1"/>
    <col min="2" max="3" width="17" customWidth="1"/>
    <col min="4" max="4" width="16" customWidth="1"/>
  </cols>
  <sheetData>
    <row r="1" spans="1:4" ht="26" customHeight="1">
      <c r="A1" s="9" t="s">
        <v>30</v>
      </c>
      <c r="B1" s="9" t="s">
        <v>31</v>
      </c>
      <c r="C1" s="9" t="s">
        <v>32</v>
      </c>
      <c r="D1" s="9" t="s">
        <v>33</v>
      </c>
    </row>
    <row r="2" spans="1:4" ht="19" customHeight="1">
      <c r="A2" s="10">
        <v>10</v>
      </c>
      <c r="B2" s="11" t="s">
        <v>34</v>
      </c>
      <c r="C2" s="11" t="s">
        <v>35</v>
      </c>
      <c r="D2" s="11" t="s">
        <v>36</v>
      </c>
    </row>
    <row r="3" spans="1:4" ht="19" customHeight="1">
      <c r="A3" s="12">
        <v>20</v>
      </c>
      <c r="B3" s="13" t="s">
        <v>37</v>
      </c>
      <c r="C3" s="13" t="s">
        <v>38</v>
      </c>
      <c r="D3" s="13" t="s">
        <v>39</v>
      </c>
    </row>
    <row r="4" spans="1:4" ht="19" customHeight="1">
      <c r="A4" s="10">
        <v>30</v>
      </c>
      <c r="B4" s="11" t="s">
        <v>40</v>
      </c>
      <c r="C4" s="11" t="s">
        <v>41</v>
      </c>
      <c r="D4" s="11" t="s">
        <v>42</v>
      </c>
    </row>
    <row r="5" spans="1:4" ht="19" customHeight="1">
      <c r="A5" s="12">
        <v>40</v>
      </c>
      <c r="B5" s="13" t="s">
        <v>43</v>
      </c>
      <c r="C5" s="13" t="s">
        <v>44</v>
      </c>
      <c r="D5" s="13" t="s">
        <v>39</v>
      </c>
    </row>
    <row r="6" spans="1:4" ht="19" customHeight="1">
      <c r="A6" s="10">
        <v>50</v>
      </c>
      <c r="B6" s="11" t="s">
        <v>45</v>
      </c>
      <c r="C6" s="11" t="s">
        <v>46</v>
      </c>
      <c r="D6" s="11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5"/>
  <cols>
    <col min="1" max="1" width="15" customWidth="1"/>
    <col min="2" max="2" width="33" customWidth="1"/>
    <col min="3" max="4" width="16" customWidth="1"/>
    <col min="5" max="5" width="22" customWidth="1"/>
  </cols>
  <sheetData>
    <row r="1" spans="1:5" ht="26" customHeight="1">
      <c r="A1" s="9" t="s">
        <v>47</v>
      </c>
      <c r="B1" s="9" t="s">
        <v>48</v>
      </c>
      <c r="C1" s="9" t="s">
        <v>30</v>
      </c>
      <c r="D1" s="9" t="s">
        <v>49</v>
      </c>
      <c r="E1" s="9" t="s">
        <v>50</v>
      </c>
    </row>
    <row r="2" spans="1:5" ht="19" customHeight="1">
      <c r="A2" s="10">
        <v>501</v>
      </c>
      <c r="B2" s="11" t="s">
        <v>51</v>
      </c>
      <c r="C2" s="10">
        <v>10</v>
      </c>
      <c r="D2" s="11" t="s">
        <v>52</v>
      </c>
      <c r="E2" s="11" t="s">
        <v>53</v>
      </c>
    </row>
    <row r="3" spans="1:5" ht="19" customHeight="1">
      <c r="A3" s="12">
        <v>502</v>
      </c>
      <c r="B3" s="13" t="s">
        <v>54</v>
      </c>
      <c r="C3" s="12">
        <v>20</v>
      </c>
      <c r="D3" s="13" t="s">
        <v>55</v>
      </c>
      <c r="E3" s="13" t="s">
        <v>56</v>
      </c>
    </row>
    <row r="4" spans="1:5" ht="19" customHeight="1">
      <c r="A4" s="10">
        <v>503</v>
      </c>
      <c r="B4" s="11" t="s">
        <v>57</v>
      </c>
      <c r="C4" s="10">
        <v>30</v>
      </c>
      <c r="D4" s="11" t="s">
        <v>58</v>
      </c>
      <c r="E4" s="11" t="s">
        <v>53</v>
      </c>
    </row>
    <row r="5" spans="1:5" ht="19" customHeight="1">
      <c r="A5" s="12">
        <v>504</v>
      </c>
      <c r="B5" s="13" t="s">
        <v>59</v>
      </c>
      <c r="C5" s="12">
        <v>40</v>
      </c>
      <c r="D5" s="13" t="s">
        <v>60</v>
      </c>
      <c r="E5" s="13" t="s">
        <v>61</v>
      </c>
    </row>
    <row r="6" spans="1:5" ht="19" customHeight="1">
      <c r="A6" s="10">
        <v>505</v>
      </c>
      <c r="B6" s="11" t="s">
        <v>62</v>
      </c>
      <c r="C6" s="10">
        <v>50</v>
      </c>
      <c r="D6" s="11" t="s">
        <v>52</v>
      </c>
      <c r="E6" s="11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opLeftCell="B1" workbookViewId="0"/>
  </sheetViews>
  <sheetFormatPr defaultRowHeight="14.5"/>
  <cols>
    <col min="1" max="1" width="15" customWidth="1"/>
    <col min="2" max="2" width="32" customWidth="1"/>
  </cols>
  <sheetData>
    <row r="1" spans="1:2" ht="26" customHeight="1">
      <c r="A1" s="9" t="s">
        <v>63</v>
      </c>
      <c r="B1" s="9" t="s">
        <v>64</v>
      </c>
    </row>
    <row r="2" spans="1:2" ht="19" customHeight="1">
      <c r="A2" s="10">
        <v>100</v>
      </c>
      <c r="B2" s="11" t="s">
        <v>65</v>
      </c>
    </row>
    <row r="3" spans="1:2" ht="19" customHeight="1">
      <c r="A3" s="12">
        <v>200</v>
      </c>
      <c r="B3" s="13" t="s">
        <v>66</v>
      </c>
    </row>
    <row r="4" spans="1:2" ht="19" customHeight="1">
      <c r="A4" s="10">
        <v>300</v>
      </c>
      <c r="B4" s="11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5"/>
  <cols>
    <col min="1" max="1" width="18" customWidth="1"/>
    <col min="2" max="2" width="23" customWidth="1"/>
    <col min="3" max="3" width="15" customWidth="1"/>
  </cols>
  <sheetData>
    <row r="1" spans="1:3" ht="26" customHeight="1">
      <c r="A1" s="9" t="s">
        <v>68</v>
      </c>
      <c r="B1" s="9" t="s">
        <v>69</v>
      </c>
      <c r="C1" s="9" t="s">
        <v>63</v>
      </c>
    </row>
    <row r="2" spans="1:3" ht="19" customHeight="1">
      <c r="A2" s="10">
        <v>11</v>
      </c>
      <c r="B2" s="11" t="s">
        <v>70</v>
      </c>
      <c r="C2" s="10">
        <v>100</v>
      </c>
    </row>
    <row r="3" spans="1:3" ht="19" customHeight="1">
      <c r="A3" s="12">
        <v>12</v>
      </c>
      <c r="B3" s="13" t="s">
        <v>71</v>
      </c>
      <c r="C3" s="12">
        <v>100</v>
      </c>
    </row>
    <row r="4" spans="1:3" ht="19" customHeight="1">
      <c r="A4" s="10">
        <v>21</v>
      </c>
      <c r="B4" s="11" t="s">
        <v>72</v>
      </c>
      <c r="C4" s="10">
        <v>200</v>
      </c>
    </row>
    <row r="5" spans="1:3" ht="19" customHeight="1">
      <c r="A5" s="12">
        <v>22</v>
      </c>
      <c r="B5" s="13" t="s">
        <v>73</v>
      </c>
      <c r="C5" s="12">
        <v>200</v>
      </c>
    </row>
    <row r="6" spans="1:3" ht="19" customHeight="1">
      <c r="A6" s="10">
        <v>31</v>
      </c>
      <c r="B6" s="11" t="s">
        <v>74</v>
      </c>
      <c r="C6" s="10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5"/>
  <cols>
    <col min="1" max="1" width="14" customWidth="1"/>
    <col min="2" max="2" width="36" customWidth="1"/>
    <col min="3" max="3" width="18" customWidth="1"/>
    <col min="4" max="4" width="14" customWidth="1"/>
    <col min="5" max="5" width="16" customWidth="1"/>
  </cols>
  <sheetData>
    <row r="1" spans="1:5" ht="26" customHeight="1">
      <c r="A1" s="9" t="s">
        <v>75</v>
      </c>
      <c r="B1" s="9" t="s">
        <v>76</v>
      </c>
      <c r="C1" s="9" t="s">
        <v>68</v>
      </c>
      <c r="D1" s="9" t="s">
        <v>77</v>
      </c>
      <c r="E1" s="9" t="s">
        <v>78</v>
      </c>
    </row>
    <row r="2" spans="1:5" ht="19" customHeight="1">
      <c r="A2" s="10">
        <v>801</v>
      </c>
      <c r="B2" s="11" t="s">
        <v>79</v>
      </c>
      <c r="C2" s="10">
        <v>11</v>
      </c>
      <c r="D2" s="10" t="s">
        <v>80</v>
      </c>
      <c r="E2" s="10">
        <v>14</v>
      </c>
    </row>
    <row r="3" spans="1:5" ht="19" customHeight="1">
      <c r="A3" s="12">
        <v>802</v>
      </c>
      <c r="B3" s="13" t="s">
        <v>81</v>
      </c>
      <c r="C3" s="12">
        <v>12</v>
      </c>
      <c r="D3" s="12" t="s">
        <v>82</v>
      </c>
      <c r="E3" s="12">
        <v>7</v>
      </c>
    </row>
    <row r="4" spans="1:5" ht="19" customHeight="1">
      <c r="A4" s="10">
        <v>803</v>
      </c>
      <c r="B4" s="11" t="s">
        <v>83</v>
      </c>
      <c r="C4" s="10">
        <v>21</v>
      </c>
      <c r="D4" s="10" t="s">
        <v>84</v>
      </c>
      <c r="E4" s="10">
        <v>45</v>
      </c>
    </row>
    <row r="5" spans="1:5" ht="19" customHeight="1">
      <c r="A5" s="12">
        <v>804</v>
      </c>
      <c r="B5" s="13" t="s">
        <v>85</v>
      </c>
      <c r="C5" s="12">
        <v>22</v>
      </c>
      <c r="D5" s="12" t="s">
        <v>86</v>
      </c>
      <c r="E5" s="12">
        <v>21</v>
      </c>
    </row>
    <row r="6" spans="1:5" ht="19" customHeight="1">
      <c r="A6" s="10">
        <v>805</v>
      </c>
      <c r="B6" s="11" t="s">
        <v>87</v>
      </c>
      <c r="C6" s="10">
        <v>31</v>
      </c>
      <c r="D6" s="10" t="s">
        <v>88</v>
      </c>
      <c r="E6" s="10">
        <v>5</v>
      </c>
    </row>
    <row r="7" spans="1:5" ht="19" customHeight="1">
      <c r="A7" s="12">
        <v>806</v>
      </c>
      <c r="B7" s="13" t="s">
        <v>89</v>
      </c>
      <c r="C7" s="12">
        <v>11</v>
      </c>
      <c r="D7" s="12" t="s">
        <v>90</v>
      </c>
      <c r="E7" s="12">
        <v>12</v>
      </c>
    </row>
    <row r="8" spans="1:5" ht="19" customHeight="1">
      <c r="A8" s="10">
        <v>807</v>
      </c>
      <c r="B8" s="11" t="s">
        <v>91</v>
      </c>
      <c r="C8" s="10">
        <v>22</v>
      </c>
      <c r="D8" s="10" t="s">
        <v>92</v>
      </c>
      <c r="E8" s="10">
        <v>60</v>
      </c>
    </row>
    <row r="9" spans="1:5" ht="19" customHeight="1">
      <c r="A9" s="12">
        <v>808</v>
      </c>
      <c r="B9" s="13" t="s">
        <v>93</v>
      </c>
      <c r="C9" s="12">
        <v>31</v>
      </c>
      <c r="D9" s="12" t="s">
        <v>94</v>
      </c>
      <c r="E9" s="12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/>
  </sheetViews>
  <sheetFormatPr defaultRowHeight="14.5"/>
  <cols>
    <col min="1" max="1" width="13" customWidth="1"/>
    <col min="2" max="2" width="23" customWidth="1"/>
    <col min="3" max="3" width="14" customWidth="1"/>
    <col min="4" max="4" width="17" customWidth="1"/>
    <col min="5" max="5" width="13" customWidth="1"/>
  </cols>
  <sheetData>
    <row r="1" spans="1:5" ht="26" customHeight="1">
      <c r="A1" s="9" t="s">
        <v>95</v>
      </c>
      <c r="B1" s="9" t="s">
        <v>96</v>
      </c>
      <c r="C1" s="9" t="s">
        <v>97</v>
      </c>
      <c r="D1" s="9" t="s">
        <v>98</v>
      </c>
      <c r="E1" s="9" t="s">
        <v>99</v>
      </c>
    </row>
    <row r="2" spans="1:5" ht="19" customHeight="1">
      <c r="A2" s="10">
        <v>20260301</v>
      </c>
      <c r="B2" s="14">
        <v>46082</v>
      </c>
      <c r="C2" s="10">
        <v>2026</v>
      </c>
      <c r="D2" s="11" t="s">
        <v>100</v>
      </c>
      <c r="E2" s="11" t="s">
        <v>101</v>
      </c>
    </row>
    <row r="3" spans="1:5" ht="19" customHeight="1">
      <c r="A3" s="12">
        <v>20260302</v>
      </c>
      <c r="B3" s="15">
        <v>46083</v>
      </c>
      <c r="C3" s="12">
        <v>2026</v>
      </c>
      <c r="D3" s="13" t="s">
        <v>100</v>
      </c>
      <c r="E3" s="13" t="s">
        <v>101</v>
      </c>
    </row>
    <row r="4" spans="1:5" ht="19" customHeight="1">
      <c r="A4" s="10">
        <v>20260303</v>
      </c>
      <c r="B4" s="14">
        <v>46084</v>
      </c>
      <c r="C4" s="10">
        <v>2026</v>
      </c>
      <c r="D4" s="11" t="s">
        <v>100</v>
      </c>
      <c r="E4" s="11" t="s">
        <v>101</v>
      </c>
    </row>
    <row r="5" spans="1:5" ht="19" customHeight="1">
      <c r="A5" s="12">
        <v>20260304</v>
      </c>
      <c r="B5" s="15">
        <v>46085</v>
      </c>
      <c r="C5" s="12">
        <v>2026</v>
      </c>
      <c r="D5" s="13" t="s">
        <v>100</v>
      </c>
      <c r="E5" s="13" t="s">
        <v>101</v>
      </c>
    </row>
    <row r="6" spans="1:5" ht="19" customHeight="1">
      <c r="A6" s="10">
        <v>20260305</v>
      </c>
      <c r="B6" s="14">
        <v>46086</v>
      </c>
      <c r="C6" s="10">
        <v>2026</v>
      </c>
      <c r="D6" s="11" t="s">
        <v>100</v>
      </c>
      <c r="E6" s="11" t="s">
        <v>101</v>
      </c>
    </row>
    <row r="7" spans="1:5" ht="19" customHeight="1">
      <c r="A7" s="12">
        <v>20260306</v>
      </c>
      <c r="B7" s="15">
        <v>46087</v>
      </c>
      <c r="C7" s="12">
        <v>2026</v>
      </c>
      <c r="D7" s="13" t="s">
        <v>100</v>
      </c>
      <c r="E7" s="13" t="s">
        <v>101</v>
      </c>
    </row>
    <row r="8" spans="1:5" ht="19" customHeight="1">
      <c r="A8" s="10">
        <v>20260307</v>
      </c>
      <c r="B8" s="14">
        <v>46088</v>
      </c>
      <c r="C8" s="10">
        <v>2026</v>
      </c>
      <c r="D8" s="11" t="s">
        <v>100</v>
      </c>
      <c r="E8" s="11" t="s">
        <v>101</v>
      </c>
    </row>
    <row r="9" spans="1:5" ht="19" customHeight="1">
      <c r="A9" s="12">
        <v>20260308</v>
      </c>
      <c r="B9" s="15">
        <v>46089</v>
      </c>
      <c r="C9" s="12">
        <v>2026</v>
      </c>
      <c r="D9" s="13" t="s">
        <v>100</v>
      </c>
      <c r="E9" s="13" t="s">
        <v>101</v>
      </c>
    </row>
    <row r="10" spans="1:5" ht="19" customHeight="1">
      <c r="A10" s="10">
        <v>20260309</v>
      </c>
      <c r="B10" s="14">
        <v>46090</v>
      </c>
      <c r="C10" s="10">
        <v>2026</v>
      </c>
      <c r="D10" s="11" t="s">
        <v>100</v>
      </c>
      <c r="E10" s="11" t="s">
        <v>101</v>
      </c>
    </row>
    <row r="11" spans="1:5" ht="19" customHeight="1">
      <c r="A11" s="12">
        <v>20260310</v>
      </c>
      <c r="B11" s="15">
        <v>46091</v>
      </c>
      <c r="C11" s="12">
        <v>2026</v>
      </c>
      <c r="D11" s="13" t="s">
        <v>100</v>
      </c>
      <c r="E11" s="13" t="s">
        <v>101</v>
      </c>
    </row>
    <row r="12" spans="1:5" ht="19" customHeight="1">
      <c r="A12" s="10">
        <v>20260311</v>
      </c>
      <c r="B12" s="14">
        <v>46092</v>
      </c>
      <c r="C12" s="10">
        <v>2026</v>
      </c>
      <c r="D12" s="11" t="s">
        <v>100</v>
      </c>
      <c r="E12" s="11" t="s">
        <v>101</v>
      </c>
    </row>
    <row r="13" spans="1:5" ht="19" customHeight="1">
      <c r="A13" s="12">
        <v>20260312</v>
      </c>
      <c r="B13" s="15">
        <v>46093</v>
      </c>
      <c r="C13" s="12">
        <v>2026</v>
      </c>
      <c r="D13" s="13" t="s">
        <v>100</v>
      </c>
      <c r="E13" s="13" t="s">
        <v>101</v>
      </c>
    </row>
    <row r="14" spans="1:5" ht="19" customHeight="1">
      <c r="A14" s="10">
        <v>20260313</v>
      </c>
      <c r="B14" s="14">
        <v>46094</v>
      </c>
      <c r="C14" s="10">
        <v>2026</v>
      </c>
      <c r="D14" s="11" t="s">
        <v>100</v>
      </c>
      <c r="E14" s="11" t="s">
        <v>101</v>
      </c>
    </row>
    <row r="15" spans="1:5" ht="19" customHeight="1">
      <c r="A15" s="12">
        <v>20260314</v>
      </c>
      <c r="B15" s="15">
        <v>46095</v>
      </c>
      <c r="C15" s="12">
        <v>2026</v>
      </c>
      <c r="D15" s="13" t="s">
        <v>100</v>
      </c>
      <c r="E15" s="13" t="s">
        <v>101</v>
      </c>
    </row>
    <row r="16" spans="1:5" ht="19" customHeight="1">
      <c r="A16" s="10">
        <v>20260315</v>
      </c>
      <c r="B16" s="14">
        <v>46096</v>
      </c>
      <c r="C16" s="10">
        <v>2026</v>
      </c>
      <c r="D16" s="11" t="s">
        <v>100</v>
      </c>
      <c r="E16" s="11" t="s">
        <v>101</v>
      </c>
    </row>
    <row r="17" spans="1:5" ht="19" customHeight="1">
      <c r="A17" s="12">
        <v>20260316</v>
      </c>
      <c r="B17" s="15">
        <v>46097</v>
      </c>
      <c r="C17" s="12">
        <v>2026</v>
      </c>
      <c r="D17" s="13" t="s">
        <v>100</v>
      </c>
      <c r="E17" s="13" t="s">
        <v>101</v>
      </c>
    </row>
    <row r="18" spans="1:5" ht="19" customHeight="1">
      <c r="A18" s="10">
        <v>20260317</v>
      </c>
      <c r="B18" s="14">
        <v>46098</v>
      </c>
      <c r="C18" s="10">
        <v>2026</v>
      </c>
      <c r="D18" s="11" t="s">
        <v>100</v>
      </c>
      <c r="E18" s="11" t="s">
        <v>101</v>
      </c>
    </row>
    <row r="19" spans="1:5" ht="19" customHeight="1">
      <c r="A19" s="12">
        <v>20260318</v>
      </c>
      <c r="B19" s="15">
        <v>46099</v>
      </c>
      <c r="C19" s="12">
        <v>2026</v>
      </c>
      <c r="D19" s="13" t="s">
        <v>100</v>
      </c>
      <c r="E19" s="13" t="s">
        <v>101</v>
      </c>
    </row>
    <row r="20" spans="1:5" ht="19" customHeight="1">
      <c r="A20" s="10">
        <v>20260319</v>
      </c>
      <c r="B20" s="14">
        <v>46100</v>
      </c>
      <c r="C20" s="10">
        <v>2026</v>
      </c>
      <c r="D20" s="11" t="s">
        <v>100</v>
      </c>
      <c r="E20" s="11" t="s">
        <v>101</v>
      </c>
    </row>
    <row r="21" spans="1:5" ht="19" customHeight="1">
      <c r="A21" s="12">
        <v>20260320</v>
      </c>
      <c r="B21" s="15">
        <v>46101</v>
      </c>
      <c r="C21" s="12">
        <v>2026</v>
      </c>
      <c r="D21" s="13" t="s">
        <v>100</v>
      </c>
      <c r="E21" s="13" t="s">
        <v>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tabSelected="1" topLeftCell="A14" workbookViewId="0">
      <selection activeCell="A17" sqref="A17"/>
    </sheetView>
  </sheetViews>
  <sheetFormatPr defaultRowHeight="14.5"/>
  <cols>
    <col min="1" max="1" width="23" customWidth="1"/>
    <col min="2" max="2" width="13" customWidth="1"/>
    <col min="3" max="3" width="14" customWidth="1"/>
    <col min="4" max="4" width="15" customWidth="1"/>
    <col min="5" max="5" width="19" customWidth="1"/>
    <col min="6" max="6" width="22" customWidth="1"/>
    <col min="7" max="11" width="19" customWidth="1"/>
  </cols>
  <sheetData>
    <row r="1" spans="1:11" ht="26" customHeight="1">
      <c r="A1" s="9" t="s">
        <v>102</v>
      </c>
      <c r="B1" s="9" t="s">
        <v>95</v>
      </c>
      <c r="C1" s="9" t="s">
        <v>75</v>
      </c>
      <c r="D1" s="9" t="s">
        <v>47</v>
      </c>
      <c r="E1" s="9" t="s">
        <v>103</v>
      </c>
      <c r="F1" s="9" t="s">
        <v>104</v>
      </c>
      <c r="G1" s="9" t="s">
        <v>105</v>
      </c>
      <c r="H1" s="9" t="s">
        <v>106</v>
      </c>
      <c r="I1" s="16" t="s">
        <v>107</v>
      </c>
      <c r="J1" s="16" t="s">
        <v>108</v>
      </c>
      <c r="K1" s="16" t="s">
        <v>109</v>
      </c>
    </row>
    <row r="2" spans="1:11" ht="19" customHeight="1">
      <c r="A2" s="11" t="s">
        <v>110</v>
      </c>
      <c r="B2" s="10">
        <v>20260301</v>
      </c>
      <c r="C2" s="10">
        <v>801</v>
      </c>
      <c r="D2" s="10">
        <v>501</v>
      </c>
      <c r="E2" s="10">
        <v>150</v>
      </c>
      <c r="F2" s="17">
        <v>45.5</v>
      </c>
      <c r="G2" s="17">
        <v>450</v>
      </c>
      <c r="H2" s="10">
        <v>1</v>
      </c>
      <c r="I2" s="17">
        <f t="shared" ref="I2:I16" si="0">E2*F2</f>
        <v>6825</v>
      </c>
      <c r="J2" s="17">
        <f t="shared" ref="J2:J16" si="1">I2+G2</f>
        <v>7275</v>
      </c>
      <c r="K2" s="18">
        <f t="shared" ref="K2:K16" si="2">H2/E2</f>
        <v>6.6666666666666671E-3</v>
      </c>
    </row>
    <row r="3" spans="1:11" ht="19" customHeight="1">
      <c r="A3" s="13" t="s">
        <v>111</v>
      </c>
      <c r="B3" s="12">
        <v>20260302</v>
      </c>
      <c r="C3" s="12">
        <v>803</v>
      </c>
      <c r="D3" s="12">
        <v>502</v>
      </c>
      <c r="E3" s="12">
        <v>2500</v>
      </c>
      <c r="F3" s="19">
        <v>2.75</v>
      </c>
      <c r="G3" s="19">
        <v>120</v>
      </c>
      <c r="H3" s="12">
        <v>14</v>
      </c>
      <c r="I3" s="19">
        <f t="shared" si="0"/>
        <v>6875</v>
      </c>
      <c r="J3" s="19">
        <f t="shared" si="1"/>
        <v>6995</v>
      </c>
      <c r="K3" s="20">
        <f t="shared" si="2"/>
        <v>5.5999999999999999E-3</v>
      </c>
    </row>
    <row r="4" spans="1:11" ht="19" customHeight="1">
      <c r="A4" s="11" t="s">
        <v>112</v>
      </c>
      <c r="B4" s="10">
        <v>20260303</v>
      </c>
      <c r="C4" s="10">
        <v>805</v>
      </c>
      <c r="D4" s="10">
        <v>503</v>
      </c>
      <c r="E4" s="10">
        <v>80</v>
      </c>
      <c r="F4" s="17">
        <v>12.2</v>
      </c>
      <c r="G4" s="17">
        <v>35</v>
      </c>
      <c r="H4" s="10">
        <v>0</v>
      </c>
      <c r="I4" s="17">
        <f t="shared" si="0"/>
        <v>976</v>
      </c>
      <c r="J4" s="17">
        <f t="shared" si="1"/>
        <v>1011</v>
      </c>
      <c r="K4" s="18">
        <f t="shared" si="2"/>
        <v>0</v>
      </c>
    </row>
    <row r="5" spans="1:11" ht="19" customHeight="1">
      <c r="A5" s="13" t="s">
        <v>113</v>
      </c>
      <c r="B5" s="12">
        <v>20260304</v>
      </c>
      <c r="C5" s="12">
        <v>802</v>
      </c>
      <c r="D5" s="12">
        <v>504</v>
      </c>
      <c r="E5" s="12">
        <v>600</v>
      </c>
      <c r="F5" s="19">
        <v>8.9</v>
      </c>
      <c r="G5" s="19">
        <v>250</v>
      </c>
      <c r="H5" s="12">
        <v>3</v>
      </c>
      <c r="I5" s="19">
        <f t="shared" si="0"/>
        <v>5340</v>
      </c>
      <c r="J5" s="19">
        <f t="shared" si="1"/>
        <v>5590</v>
      </c>
      <c r="K5" s="20">
        <f t="shared" si="2"/>
        <v>5.0000000000000001E-3</v>
      </c>
    </row>
    <row r="6" spans="1:11" ht="19" customHeight="1">
      <c r="A6" s="11" t="s">
        <v>114</v>
      </c>
      <c r="B6" s="10">
        <v>20260305</v>
      </c>
      <c r="C6" s="10">
        <v>804</v>
      </c>
      <c r="D6" s="10">
        <v>505</v>
      </c>
      <c r="E6" s="10">
        <v>450</v>
      </c>
      <c r="F6" s="17">
        <v>24</v>
      </c>
      <c r="G6" s="17">
        <v>180</v>
      </c>
      <c r="H6" s="10">
        <v>2</v>
      </c>
      <c r="I6" s="17">
        <f t="shared" si="0"/>
        <v>10800</v>
      </c>
      <c r="J6" s="17">
        <f t="shared" si="1"/>
        <v>10980</v>
      </c>
      <c r="K6" s="18">
        <f t="shared" si="2"/>
        <v>4.4444444444444444E-3</v>
      </c>
    </row>
    <row r="7" spans="1:11" ht="19" customHeight="1">
      <c r="A7" s="13" t="s">
        <v>115</v>
      </c>
      <c r="B7" s="12">
        <v>20260306</v>
      </c>
      <c r="C7" s="12">
        <v>806</v>
      </c>
      <c r="D7" s="12">
        <v>501</v>
      </c>
      <c r="E7" s="12">
        <v>300</v>
      </c>
      <c r="F7" s="19">
        <v>18.25</v>
      </c>
      <c r="G7" s="19">
        <v>310</v>
      </c>
      <c r="H7" s="12">
        <v>0</v>
      </c>
      <c r="I7" s="19">
        <f t="shared" si="0"/>
        <v>5475</v>
      </c>
      <c r="J7" s="19">
        <f t="shared" si="1"/>
        <v>5785</v>
      </c>
      <c r="K7" s="20">
        <f t="shared" si="2"/>
        <v>0</v>
      </c>
    </row>
    <row r="8" spans="1:11" ht="19" customHeight="1">
      <c r="A8" s="11" t="s">
        <v>116</v>
      </c>
      <c r="B8" s="10">
        <v>20260307</v>
      </c>
      <c r="C8" s="10">
        <v>807</v>
      </c>
      <c r="D8" s="10">
        <v>505</v>
      </c>
      <c r="E8" s="10">
        <v>1200</v>
      </c>
      <c r="F8" s="17">
        <v>34.1</v>
      </c>
      <c r="G8" s="17">
        <v>520</v>
      </c>
      <c r="H8" s="10">
        <v>8</v>
      </c>
      <c r="I8" s="17">
        <f t="shared" si="0"/>
        <v>40920</v>
      </c>
      <c r="J8" s="17">
        <f t="shared" si="1"/>
        <v>41440</v>
      </c>
      <c r="K8" s="18">
        <f t="shared" si="2"/>
        <v>6.6666666666666671E-3</v>
      </c>
    </row>
    <row r="9" spans="1:11" ht="19" customHeight="1">
      <c r="A9" s="13" t="s">
        <v>117</v>
      </c>
      <c r="B9" s="12">
        <v>20260308</v>
      </c>
      <c r="C9" s="12">
        <v>808</v>
      </c>
      <c r="D9" s="12">
        <v>503</v>
      </c>
      <c r="E9" s="12">
        <v>150</v>
      </c>
      <c r="F9" s="19">
        <v>6.5</v>
      </c>
      <c r="G9" s="19">
        <v>45</v>
      </c>
      <c r="H9" s="12">
        <v>1</v>
      </c>
      <c r="I9" s="19">
        <f t="shared" si="0"/>
        <v>975</v>
      </c>
      <c r="J9" s="19">
        <f t="shared" si="1"/>
        <v>1020</v>
      </c>
      <c r="K9" s="20">
        <f t="shared" si="2"/>
        <v>6.6666666666666671E-3</v>
      </c>
    </row>
    <row r="10" spans="1:11" ht="19" customHeight="1">
      <c r="A10" s="11" t="s">
        <v>118</v>
      </c>
      <c r="B10" s="10">
        <v>20260309</v>
      </c>
      <c r="C10" s="10">
        <v>801</v>
      </c>
      <c r="D10" s="10">
        <v>501</v>
      </c>
      <c r="E10" s="10">
        <v>120</v>
      </c>
      <c r="F10" s="17">
        <v>45.5</v>
      </c>
      <c r="G10" s="17">
        <v>380</v>
      </c>
      <c r="H10" s="10">
        <v>0</v>
      </c>
      <c r="I10" s="17">
        <f t="shared" si="0"/>
        <v>5460</v>
      </c>
      <c r="J10" s="17">
        <f t="shared" si="1"/>
        <v>5840</v>
      </c>
      <c r="K10" s="18">
        <f t="shared" si="2"/>
        <v>0</v>
      </c>
    </row>
    <row r="11" spans="1:11" ht="19" customHeight="1">
      <c r="A11" s="13" t="s">
        <v>119</v>
      </c>
      <c r="B11" s="12">
        <v>20260310</v>
      </c>
      <c r="C11" s="12">
        <v>803</v>
      </c>
      <c r="D11" s="12">
        <v>502</v>
      </c>
      <c r="E11" s="12">
        <v>3000</v>
      </c>
      <c r="F11" s="19">
        <v>2.65</v>
      </c>
      <c r="G11" s="19">
        <v>150</v>
      </c>
      <c r="H11" s="12">
        <v>22</v>
      </c>
      <c r="I11" s="19">
        <f t="shared" si="0"/>
        <v>7950</v>
      </c>
      <c r="J11" s="19">
        <f t="shared" si="1"/>
        <v>8100</v>
      </c>
      <c r="K11" s="20">
        <f t="shared" si="2"/>
        <v>7.3333333333333332E-3</v>
      </c>
    </row>
    <row r="12" spans="1:11" ht="19" customHeight="1">
      <c r="A12" s="11" t="s">
        <v>120</v>
      </c>
      <c r="B12" s="10">
        <v>20260311</v>
      </c>
      <c r="C12" s="10">
        <v>804</v>
      </c>
      <c r="D12" s="10">
        <v>505</v>
      </c>
      <c r="E12" s="10">
        <v>200</v>
      </c>
      <c r="F12" s="17">
        <v>8.9</v>
      </c>
      <c r="G12" s="17">
        <v>90</v>
      </c>
      <c r="H12" s="10">
        <v>1</v>
      </c>
      <c r="I12" s="17">
        <f t="shared" si="0"/>
        <v>1780</v>
      </c>
      <c r="J12" s="17">
        <f t="shared" si="1"/>
        <v>1870</v>
      </c>
      <c r="K12" s="18">
        <f t="shared" si="2"/>
        <v>5.0000000000000001E-3</v>
      </c>
    </row>
    <row r="13" spans="1:11" ht="19" customHeight="1">
      <c r="A13" s="13" t="s">
        <v>121</v>
      </c>
      <c r="B13" s="12">
        <v>20260312</v>
      </c>
      <c r="C13" s="12">
        <v>802</v>
      </c>
      <c r="D13" s="12">
        <v>504</v>
      </c>
      <c r="E13" s="12">
        <v>500</v>
      </c>
      <c r="F13" s="19">
        <v>2.75</v>
      </c>
      <c r="G13" s="19">
        <v>210</v>
      </c>
      <c r="H13" s="12">
        <v>2</v>
      </c>
      <c r="I13" s="19">
        <f t="shared" si="0"/>
        <v>1375</v>
      </c>
      <c r="J13" s="19">
        <f t="shared" si="1"/>
        <v>1585</v>
      </c>
      <c r="K13" s="20">
        <f t="shared" si="2"/>
        <v>4.0000000000000001E-3</v>
      </c>
    </row>
    <row r="14" spans="1:11" ht="19" customHeight="1">
      <c r="A14" s="11" t="s">
        <v>122</v>
      </c>
      <c r="B14" s="10">
        <v>20260313</v>
      </c>
      <c r="C14" s="10">
        <v>805</v>
      </c>
      <c r="D14" s="10">
        <v>503</v>
      </c>
      <c r="E14" s="10">
        <v>110</v>
      </c>
      <c r="F14" s="17">
        <v>24</v>
      </c>
      <c r="G14" s="17">
        <v>50</v>
      </c>
      <c r="H14" s="10">
        <v>0</v>
      </c>
      <c r="I14" s="17">
        <f t="shared" si="0"/>
        <v>2640</v>
      </c>
      <c r="J14" s="17">
        <f t="shared" si="1"/>
        <v>2690</v>
      </c>
      <c r="K14" s="18">
        <f t="shared" si="2"/>
        <v>0</v>
      </c>
    </row>
    <row r="15" spans="1:11" ht="19" customHeight="1">
      <c r="A15" s="13" t="s">
        <v>123</v>
      </c>
      <c r="B15" s="12">
        <v>20260314</v>
      </c>
      <c r="C15" s="12">
        <v>806</v>
      </c>
      <c r="D15" s="12">
        <v>501</v>
      </c>
      <c r="E15" s="12">
        <v>250</v>
      </c>
      <c r="F15" s="19">
        <v>18.25</v>
      </c>
      <c r="G15" s="19">
        <v>280</v>
      </c>
      <c r="H15" s="12">
        <v>1</v>
      </c>
      <c r="I15" s="19">
        <f t="shared" si="0"/>
        <v>4562.5</v>
      </c>
      <c r="J15" s="19">
        <f t="shared" si="1"/>
        <v>4842.5</v>
      </c>
      <c r="K15" s="20">
        <f t="shared" si="2"/>
        <v>4.0000000000000001E-3</v>
      </c>
    </row>
    <row r="16" spans="1:11" ht="19" customHeight="1">
      <c r="A16" s="11" t="s">
        <v>124</v>
      </c>
      <c r="B16" s="10">
        <v>20260315</v>
      </c>
      <c r="C16" s="10">
        <v>807</v>
      </c>
      <c r="D16" s="10">
        <v>505</v>
      </c>
      <c r="E16" s="10">
        <v>850</v>
      </c>
      <c r="F16" s="17">
        <v>33.5</v>
      </c>
      <c r="G16" s="17">
        <v>410</v>
      </c>
      <c r="H16" s="10">
        <v>4</v>
      </c>
      <c r="I16" s="17">
        <f t="shared" si="0"/>
        <v>28475</v>
      </c>
      <c r="J16" s="17">
        <f t="shared" si="1"/>
        <v>28885</v>
      </c>
      <c r="K16" s="18">
        <f t="shared" si="2"/>
        <v>4.7058823529411761E-3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Dim_Geography</vt:lpstr>
      <vt:lpstr>Dim_Supplier</vt:lpstr>
      <vt:lpstr>Dim_Category</vt:lpstr>
      <vt:lpstr>Dim_Subcategory</vt:lpstr>
      <vt:lpstr>Dim_Product</vt:lpstr>
      <vt:lpstr>Dim_Date</vt:lpstr>
      <vt:lpstr>Fact_Purchase_Orders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Mintesnot Iwunete</cp:lastModifiedBy>
  <dcterms:created xsi:type="dcterms:W3CDTF">2026-06-11T17:26:22Z</dcterms:created>
  <dcterms:modified xsi:type="dcterms:W3CDTF">2026-06-11T18:06:40Z</dcterms:modified>
</cp:coreProperties>
</file>